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Úkoly" sheetId="2" state="visible" r:id="rId2"/>
    <sheet name="Rozpočet" sheetId="3" state="visible" r:id="rId3"/>
    <sheet name="Hosté" sheetId="4" state="visible" r:id="rId4"/>
    <sheet name="Stoly" sheetId="5" state="visible" r:id="rId5"/>
    <sheet name="Dodavatelé" sheetId="6" state="visible" r:id="rId6"/>
    <sheet name="Den D" sheetId="7" state="visible" r:id="rId7"/>
    <sheet name="Návod" sheetId="8" state="visible" r:id="rId8"/>
  </sheets>
  <definedNames>
    <definedName name="DatumSvatby">'Přehled'!$C$8</definedName>
    <definedName name="Rozpocet">'Přehled'!$C$9</definedName>
    <definedName name="_xlnm.Print_Titles" localSheetId="1">'Úkoly'!$4:$4</definedName>
    <definedName name="_xlnm.Print_Titles" localSheetId="2">'Rozpočet'!$4:$4</definedName>
    <definedName name="_xlnm.Print_Titles" localSheetId="3">'Hosté'!$4:$4</definedName>
    <definedName name="_xlnm.Print_Titles" localSheetId="4">'Stoly'!$4:$4</definedName>
    <definedName name="_xlnm.Print_Titles" localSheetId="5">'Dodavatelé'!$4:$4</definedName>
    <definedName name="_xlnm.Print_Titles" localSheetId="6">'Den D'!$4:$4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. m. yyyy"/>
    <numFmt numFmtId="166" formatCode="#,##0 &quot;Kč&quot;;-#,##0 &quot;Kč&quot;;&quot;–&quot;"/>
    <numFmt numFmtId="167" formatCode="hh:mm"/>
  </numFmts>
  <fonts count="13">
    <font>
      <name val="Calibri"/>
      <family val="2"/>
      <color theme="1"/>
      <sz val="11"/>
      <scheme val="minor"/>
    </font>
    <font>
      <name val="Georgia"/>
      <color rgb="002B2A28"/>
      <sz val="22"/>
    </font>
    <font>
      <name val="Arial"/>
      <i val="1"/>
      <color rgb="006B665E"/>
      <sz val="9"/>
    </font>
    <font>
      <name val="Georgia"/>
      <b val="1"/>
      <color rgb="0056654A"/>
      <sz val="13"/>
    </font>
    <font>
      <name val="Arial"/>
      <color rgb="006B665E"/>
      <sz val="10"/>
    </font>
    <font>
      <name val="Arial"/>
      <color rgb="002B2A28"/>
      <sz val="11"/>
    </font>
    <font>
      <name val="Georgia"/>
      <b val="1"/>
      <color rgb="002B2A28"/>
      <sz val="16"/>
    </font>
    <font>
      <name val="Arial"/>
      <b val="1"/>
      <color rgb="002B2A28"/>
      <sz val="11"/>
    </font>
    <font>
      <name val="Arial"/>
      <color rgb="007C8B6F"/>
      <sz val="9"/>
    </font>
    <font>
      <name val="Arial"/>
      <b val="1"/>
      <color rgb="006B665E"/>
      <sz val="9"/>
    </font>
    <font>
      <name val="Arial"/>
      <color rgb="002B2A28"/>
      <sz val="10"/>
    </font>
    <font>
      <name val="Arial"/>
      <b val="1"/>
      <color rgb="00FFFFFF"/>
      <sz val="10"/>
    </font>
    <font>
      <name val="Arial"/>
      <b val="1"/>
      <color rgb="002B2A28"/>
      <sz val="10"/>
    </font>
  </fonts>
  <fills count="5">
    <fill>
      <patternFill/>
    </fill>
    <fill>
      <patternFill patternType="gray125"/>
    </fill>
    <fill>
      <patternFill patternType="solid">
        <fgColor rgb="00EEF1EA"/>
      </patternFill>
    </fill>
    <fill>
      <patternFill patternType="solid">
        <fgColor rgb="0056654A"/>
      </patternFill>
    </fill>
    <fill>
      <patternFill patternType="solid">
        <fgColor rgb="00F3EFE8"/>
      </patternFill>
    </fill>
  </fills>
  <borders count="9">
    <border>
      <left/>
      <right/>
      <top/>
      <bottom/>
      <diagonal/>
    </border>
    <border>
      <bottom style="thin">
        <color rgb="007C8B6F"/>
      </bottom>
    </border>
    <border>
      <left style="thin">
        <color rgb="007C8B6F"/>
      </left>
      <right style="thin">
        <color rgb="007C8B6F"/>
      </right>
      <top style="thin">
        <color rgb="007C8B6F"/>
      </top>
      <bottom style="thin">
        <color rgb="007C8B6F"/>
      </bottom>
    </border>
    <border>
      <left/>
      <right/>
      <top style="thin">
        <color rgb="007C8B6F"/>
      </top>
      <bottom/>
      <diagonal/>
    </border>
    <border>
      <left/>
      <right style="thin">
        <color rgb="007C8B6F"/>
      </right>
      <top style="thin">
        <color rgb="007C8B6F"/>
      </top>
      <bottom/>
      <diagonal/>
    </border>
    <border>
      <left/>
      <right style="thin">
        <color rgb="007C8B6F"/>
      </right>
      <top style="thin">
        <color rgb="007C8B6F"/>
      </top>
      <bottom style="thin">
        <color rgb="007C8B6F"/>
      </bottom>
      <diagonal/>
    </border>
    <border>
      <bottom style="thin">
        <color rgb="00E6E0D6"/>
      </bottom>
    </border>
    <border>
      <left/>
      <right/>
      <top/>
      <bottom style="thin">
        <color rgb="00E6E0D6"/>
      </bottom>
      <diagonal/>
    </border>
    <border>
      <top style="thin">
        <color rgb="002B2A28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center"/>
    </xf>
    <xf numFmtId="0" fontId="5" fillId="2" borderId="2" applyAlignment="1" pivotButton="0" quotePrefix="0" xfId="0">
      <alignment horizontal="left" vertical="center"/>
    </xf>
    <xf numFmtId="0" fontId="0" fillId="0" borderId="5" pivotButton="0" quotePrefix="0" xfId="0"/>
    <xf numFmtId="1" fontId="6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7" fillId="0" borderId="0" applyAlignment="1" pivotButton="0" quotePrefix="0" xfId="0">
      <alignment horizontal="right" vertical="center"/>
    </xf>
    <xf numFmtId="165" fontId="5" fillId="2" borderId="2" applyAlignment="1" pivotButton="0" quotePrefix="0" xfId="0">
      <alignment horizontal="left" vertical="center"/>
    </xf>
    <xf numFmtId="9" fontId="7" fillId="0" borderId="0" applyAlignment="1" pivotButton="0" quotePrefix="0" xfId="0">
      <alignment horizontal="right" vertical="center"/>
    </xf>
    <xf numFmtId="166" fontId="5" fillId="2" borderId="2" applyAlignment="1" pivotButton="0" quotePrefix="0" xfId="0">
      <alignment horizontal="left" vertical="center"/>
    </xf>
    <xf numFmtId="0" fontId="8" fillId="0" borderId="0" pivotButton="0" quotePrefix="0" xfId="0"/>
    <xf numFmtId="166" fontId="7" fillId="0" borderId="0" applyAlignment="1" pivotButton="0" quotePrefix="0" xfId="0">
      <alignment horizontal="right" vertical="center"/>
    </xf>
    <xf numFmtId="1" fontId="7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6" applyAlignment="1" pivotButton="0" quotePrefix="0" xfId="0">
      <alignment vertical="center" wrapText="1"/>
    </xf>
    <xf numFmtId="165" fontId="10" fillId="0" borderId="6" applyAlignment="1" pivotButton="0" quotePrefix="0" xfId="0">
      <alignment vertical="center"/>
    </xf>
    <xf numFmtId="0" fontId="0" fillId="0" borderId="7" pivotButton="0" quotePrefix="0" xfId="0"/>
    <xf numFmtId="166" fontId="10" fillId="0" borderId="6" applyAlignment="1" pivotButton="0" quotePrefix="0" xfId="0">
      <alignment vertical="center"/>
    </xf>
    <xf numFmtId="0" fontId="11" fillId="3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0" fillId="0" borderId="6" applyAlignment="1" pivotButton="0" quotePrefix="0" xfId="0">
      <alignment vertical="center"/>
    </xf>
    <xf numFmtId="1" fontId="10" fillId="0" borderId="6" applyAlignment="1" pivotButton="0" quotePrefix="0" xfId="0">
      <alignment horizontal="center" vertical="center"/>
    </xf>
    <xf numFmtId="165" fontId="10" fillId="4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 wrapText="1"/>
    </xf>
    <xf numFmtId="166" fontId="10" fillId="0" borderId="6" applyAlignment="1" pivotButton="0" quotePrefix="0" xfId="0">
      <alignment vertical="center"/>
    </xf>
    <xf numFmtId="166" fontId="10" fillId="4" borderId="6" applyAlignment="1" pivotButton="0" quotePrefix="0" xfId="0">
      <alignment vertical="center"/>
    </xf>
    <xf numFmtId="165" fontId="10" fillId="0" borderId="6" applyAlignment="1" pivotButton="0" quotePrefix="0" xfId="0">
      <alignment horizontal="center" vertical="center"/>
    </xf>
    <xf numFmtId="166" fontId="10" fillId="0" borderId="6" pivotButton="0" quotePrefix="0" xfId="0"/>
    <xf numFmtId="9" fontId="10" fillId="0" borderId="6" pivotButton="0" quotePrefix="0" xfId="0"/>
    <xf numFmtId="166" fontId="10" fillId="4" borderId="6" pivotButton="0" quotePrefix="0" xfId="0"/>
    <xf numFmtId="166" fontId="12" fillId="0" borderId="8" pivotButton="0" quotePrefix="0" xfId="0"/>
    <xf numFmtId="9" fontId="12" fillId="0" borderId="8" pivotButton="0" quotePrefix="0" xfId="0"/>
    <xf numFmtId="0" fontId="2" fillId="0" borderId="0" applyAlignment="1" pivotButton="0" quotePrefix="0" xfId="0">
      <alignment vertical="top" wrapText="1"/>
    </xf>
    <xf numFmtId="0" fontId="10" fillId="4" borderId="6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67" fontId="1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9A5238"/>
      </font>
    </dxf>
    <dxf>
      <font>
        <color rgb="00B5694A"/>
      </font>
    </dxf>
    <dxf>
      <font>
        <strike val="1"/>
        <color rgb="006B665E"/>
      </font>
    </dxf>
    <dxf>
      <font>
        <b val="1"/>
      </font>
    </dxf>
    <dxf>
      <font>
        <b val="1"/>
        <color rgb="0056654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752600" cy="295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B5694A"/>
    <outlinePr summaryBelow="1" summaryRight="1"/>
    <pageSetUpPr fitToPage="1"/>
  </sheetPr>
  <dimension ref="B2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8" customWidth="1" min="4" max="4"/>
    <col width="4" customWidth="1" min="5" max="5"/>
    <col width="32" customWidth="1" min="6" max="6"/>
    <col width="14" customWidth="1" min="7" max="7"/>
    <col width="12" customWidth="1" min="8" max="8"/>
  </cols>
  <sheetData>
    <row r="2" ht="36" customHeight="1">
      <c r="B2" s="1" t="inlineStr">
        <is>
          <t>Svatební plánovač</t>
        </is>
      </c>
    </row>
    <row r="3">
      <c r="B3" s="2" t="inlineStr">
        <is>
          <t>Vyplňte zelená pole, zbytek se spočítá sám. Návod najdete v posledním listu.</t>
        </is>
      </c>
    </row>
    <row r="5">
      <c r="B5" s="3" t="inlineStr">
        <is>
          <t>Základní údaje</t>
        </is>
      </c>
      <c r="C5" s="4" t="n"/>
      <c r="D5" s="4" t="n"/>
      <c r="F5" s="3" t="inlineStr">
        <is>
          <t>Odpočet</t>
        </is>
      </c>
      <c r="G5" s="4" t="n"/>
      <c r="H5" s="4" t="n"/>
    </row>
    <row r="6" ht="22" customHeight="1">
      <c r="B6" s="5" t="inlineStr">
        <is>
          <t>Nevěsta</t>
        </is>
      </c>
      <c r="C6" s="6" t="inlineStr">
        <is>
          <t>Tereza</t>
        </is>
      </c>
      <c r="D6" s="7" t="n"/>
      <c r="F6" s="5" t="inlineStr">
        <is>
          <t>Do svatby zbývá</t>
        </is>
      </c>
      <c r="G6" s="8">
        <f>IF(ISNUMBER(DatumSvatby),MAX(0,DatumSvatby-TODAY()),"–")</f>
        <v/>
      </c>
      <c r="H6" s="9">
        <f>IF(ISNUMBER(G6),IF(G6=1,"den",IF(AND(G6&gt;=2,G6&lt;=4),"dny","dní")),"")</f>
        <v/>
      </c>
    </row>
    <row r="7" ht="22" customHeight="1">
      <c r="B7" s="5" t="inlineStr">
        <is>
          <t>Ženich</t>
        </is>
      </c>
      <c r="C7" s="6" t="inlineStr">
        <is>
          <t>Jakub</t>
        </is>
      </c>
      <c r="D7" s="7" t="n"/>
      <c r="F7" s="5" t="inlineStr">
        <is>
          <t>Svatba připadá na</t>
        </is>
      </c>
      <c r="G7" s="10">
        <f>IF(ISNUMBER(DatumSvatby),CHOOSE(WEEKDAY(DatumSvatby,2),"pondělí","úterý","středa","čtvrtek","pátek","sobotu","neděli"),"")</f>
        <v/>
      </c>
    </row>
    <row r="8" ht="22" customHeight="1">
      <c r="B8" s="5" t="inlineStr">
        <is>
          <t>Datum svatby</t>
        </is>
      </c>
      <c r="C8" s="11" t="n">
        <v>46550</v>
      </c>
      <c r="D8" s="7" t="n"/>
      <c r="F8" s="5" t="inlineStr">
        <is>
          <t>Hotové úkoly</t>
        </is>
      </c>
      <c r="G8" s="12">
        <f>IFERROR(COUNTIF('Úkoly'!$E$5:$E$89,"Hotovo")/COUNTA('Úkoly'!$B$5:$B$89),0)</f>
        <v/>
      </c>
    </row>
    <row r="9" ht="22" customHeight="1">
      <c r="B9" s="5" t="inlineStr">
        <is>
          <t>Celkový rozpočet</t>
        </is>
      </c>
      <c r="C9" s="13" t="n">
        <v>280000</v>
      </c>
      <c r="D9" s="7" t="n"/>
      <c r="G9" s="14">
        <f>REPT("■",ROUND(MIN(1,MAX(0,G8))*20,0))&amp;REPT("□",20-ROUND(MIN(1,MAX(0,G8))*20,0))</f>
        <v/>
      </c>
    </row>
    <row r="11">
      <c r="B11" s="3" t="inlineStr">
        <is>
          <t>Rozpočet</t>
        </is>
      </c>
      <c r="C11" s="4" t="n"/>
      <c r="D11" s="4" t="n"/>
      <c r="F11" s="3" t="inlineStr">
        <is>
          <t>Hosté (počet osob)</t>
        </is>
      </c>
      <c r="G11" s="4" t="n"/>
      <c r="H11" s="4" t="n"/>
    </row>
    <row r="12">
      <c r="B12" s="5" t="inlineStr">
        <is>
          <t>Počítá se s (plán nebo skutečná cena)</t>
        </is>
      </c>
      <c r="C12" s="15">
        <f>SUM('Rozpočet'!$F$5:$F$89)</f>
        <v/>
      </c>
      <c r="F12" s="5" t="inlineStr">
        <is>
          <t>Pozvaní na obřad a hostinu</t>
        </is>
      </c>
      <c r="G12" s="16">
        <f>SUMIFS('Hosté'!$D$5:$D$254,'Hosté'!$F$5:$F$254,"Obřad a hostina")</f>
        <v/>
      </c>
    </row>
    <row r="13">
      <c r="B13" s="5" t="inlineStr">
        <is>
          <t>Zbývá z rozpočtu</t>
        </is>
      </c>
      <c r="C13" s="15">
        <f>IF(N(Rozpocet)=0,"–",Rozpocet-C12)</f>
        <v/>
      </c>
      <c r="F13" s="5" t="inlineStr">
        <is>
          <t>Pozvaní jen na večer</t>
        </is>
      </c>
      <c r="G13" s="16">
        <f>SUMIFS('Hosté'!$D$5:$D$254,'Hosté'!$F$5:$F$254,"Jen večer")</f>
        <v/>
      </c>
    </row>
    <row r="14">
      <c r="B14" s="5" t="inlineStr">
        <is>
          <t>Už zaplaceno</t>
        </is>
      </c>
      <c r="C14" s="15">
        <f>SUM('Rozpočet'!$E$5:$E$89)</f>
        <v/>
      </c>
      <c r="F14" s="5" t="inlineStr">
        <is>
          <t>Potvrzeno</t>
        </is>
      </c>
      <c r="G14" s="16">
        <f>SUMIFS('Hosté'!$D$5:$D$254,'Hosté'!$H$5:$H$254,"Potvrzeno")</f>
        <v/>
      </c>
    </row>
    <row r="15">
      <c r="B15" s="5" t="inlineStr">
        <is>
          <t>Zbývá doplatit</t>
        </is>
      </c>
      <c r="C15" s="15">
        <f>SUM('Rozpočet'!$G$5:$G$89)</f>
        <v/>
      </c>
      <c r="F15" s="5" t="inlineStr">
        <is>
          <t>Odmítnuto</t>
        </is>
      </c>
      <c r="G15" s="16">
        <f>SUMIFS('Hosté'!$D$5:$D$254,'Hosté'!$H$5:$H$254,"Odmítnuto")</f>
        <v/>
      </c>
    </row>
    <row r="16">
      <c r="B16" s="5" t="inlineStr">
        <is>
          <t>Čerpání rozpočtu</t>
        </is>
      </c>
      <c r="C16" s="12">
        <f>IF(N(Rozpocet)=0,0,C12/Rozpocet)</f>
        <v/>
      </c>
      <c r="F16" s="5" t="inlineStr">
        <is>
          <t>Čeká na odpověď</t>
        </is>
      </c>
      <c r="G16" s="16">
        <f>SUMIFS('Hosté'!$D$5:$D$254,'Hosté'!$F$5:$F$254,"&lt;&gt;Jen oznámení",'Hosté'!$F$5:$F$254,"&lt;&gt;",'Hosté'!$H$5:$H$254,"&lt;&gt;Potvrzeno",'Hosté'!$H$5:$H$254,"&lt;&gt;Odmítnuto")</f>
        <v/>
      </c>
    </row>
    <row r="17">
      <c r="C17" s="14">
        <f>REPT("■",ROUND(MIN(1,MAX(0,C16))*20,0))&amp;REPT("□",20-ROUND(MIN(1,MAX(0,C16))*20,0))</f>
        <v/>
      </c>
      <c r="F17" s="5" t="inlineStr">
        <is>
          <t>Z potvrzených dětí</t>
        </is>
      </c>
      <c r="G17" s="16">
        <f>SUMIFS('Hosté'!$E$5:$E$254,'Hosté'!$H$5:$H$254,"Potvrzeno")</f>
        <v/>
      </c>
    </row>
    <row r="18">
      <c r="F18" s="5" t="inlineStr">
        <is>
          <t>Z potvrzených se speciální stravou</t>
        </is>
      </c>
      <c r="G18" s="16">
        <f>SUMIFS('Hosté'!$D$5:$D$254,'Hosté'!$H$5:$H$254,"Potvrzeno",'Hosté'!$I$5:$I$254,"&lt;&gt;Bez omezení",'Hosté'!$I$5:$I$254,"&lt;&gt;")</f>
        <v/>
      </c>
    </row>
    <row r="19">
      <c r="F19" s="5" t="inlineStr">
        <is>
          <t>Potvrzení bez stolu</t>
        </is>
      </c>
      <c r="G19" s="16">
        <f>SUMIFS('Hosté'!$D$5:$D$254,'Hosté'!$H$5:$H$254,"Potvrzeno",'Hosté'!$K$5:$K$254,"")</f>
        <v/>
      </c>
    </row>
    <row r="21">
      <c r="B21" s="3" t="inlineStr">
        <is>
          <t>Nejbližší úkoly</t>
        </is>
      </c>
      <c r="C21" s="4" t="n"/>
      <c r="D21" s="4" t="n"/>
      <c r="F21" s="3" t="inlineStr">
        <is>
          <t>Nejbližší platby</t>
        </is>
      </c>
      <c r="G21" s="4" t="n"/>
      <c r="H21" s="4" t="n"/>
    </row>
    <row r="22">
      <c r="B22" s="17" t="inlineStr">
        <is>
          <t>Úkol</t>
        </is>
      </c>
      <c r="C22" s="17" t="inlineStr">
        <is>
          <t>Termín</t>
        </is>
      </c>
      <c r="F22" s="17" t="inlineStr">
        <is>
          <t>Položka</t>
        </is>
      </c>
      <c r="G22" s="17" t="inlineStr">
        <is>
          <t>Splatnost</t>
        </is>
      </c>
      <c r="H22" s="17" t="inlineStr">
        <is>
          <t>Doplatit</t>
        </is>
      </c>
    </row>
    <row r="23" ht="28" customHeight="1">
      <c r="B23" s="18">
        <f>IFERROR(INDEX('Úkoly'!$B$5:$B$89,MATCH(SMALL('Úkoly'!$H$5:$H$89,1),'Úkoly'!$H$5:$H$89,0)),IF(ISNUMBER(DatumSvatby),"Všechno hotovo","Vyplňte datum svatby"))</f>
        <v/>
      </c>
      <c r="C23" s="19">
        <f>IFERROR(INT(SMALL('Úkoly'!$H$5:$H$89,1)),"")</f>
        <v/>
      </c>
      <c r="D23" s="20" t="n"/>
      <c r="F23" s="18">
        <f>IFERROR(INDEX('Rozpočet'!$B$5:$B$89,MATCH(SMALL('Rozpočet'!$Z$5:$Z$89,1),'Rozpočet'!$Z$5:$Z$89,0)),"Žádné naplánované platby")</f>
        <v/>
      </c>
      <c r="G23" s="19">
        <f>IFERROR(INT(SMALL('Rozpočet'!$Z$5:$Z$89,1)),"")</f>
        <v/>
      </c>
      <c r="H23" s="21">
        <f>IFERROR(INDEX('Rozpočet'!$G$5:$G$89,MATCH(SMALL('Rozpočet'!$Z$5:$Z$89,1),'Rozpočet'!$Z$5:$Z$89,0)),"")</f>
        <v/>
      </c>
    </row>
    <row r="24" ht="28" customHeight="1">
      <c r="B24" s="18">
        <f>IFERROR(INDEX('Úkoly'!$B$5:$B$89,MATCH(SMALL('Úkoly'!$H$5:$H$89,2),'Úkoly'!$H$5:$H$89,0)),IF(ISNUMBER(DatumSvatby),"",""))</f>
        <v/>
      </c>
      <c r="C24" s="19">
        <f>IFERROR(INT(SMALL('Úkoly'!$H$5:$H$89,2)),"")</f>
        <v/>
      </c>
      <c r="D24" s="20" t="n"/>
      <c r="F24" s="18">
        <f>IFERROR(INDEX('Rozpočet'!$B$5:$B$89,MATCH(SMALL('Rozpočet'!$Z$5:$Z$89,2),'Rozpočet'!$Z$5:$Z$89,0)),"")</f>
        <v/>
      </c>
      <c r="G24" s="19">
        <f>IFERROR(INT(SMALL('Rozpočet'!$Z$5:$Z$89,2)),"")</f>
        <v/>
      </c>
      <c r="H24" s="21">
        <f>IFERROR(INDEX('Rozpočet'!$G$5:$G$89,MATCH(SMALL('Rozpočet'!$Z$5:$Z$89,2),'Rozpočet'!$Z$5:$Z$89,0)),"")</f>
        <v/>
      </c>
    </row>
    <row r="25" ht="28" customHeight="1">
      <c r="B25" s="18">
        <f>IFERROR(INDEX('Úkoly'!$B$5:$B$89,MATCH(SMALL('Úkoly'!$H$5:$H$89,3),'Úkoly'!$H$5:$H$89,0)),IF(ISNUMBER(DatumSvatby),"",""))</f>
        <v/>
      </c>
      <c r="C25" s="19">
        <f>IFERROR(INT(SMALL('Úkoly'!$H$5:$H$89,3)),"")</f>
        <v/>
      </c>
      <c r="D25" s="20" t="n"/>
      <c r="F25" s="18">
        <f>IFERROR(INDEX('Rozpočet'!$B$5:$B$89,MATCH(SMALL('Rozpočet'!$Z$5:$Z$89,3),'Rozpočet'!$Z$5:$Z$89,0)),"")</f>
        <v/>
      </c>
      <c r="G25" s="19">
        <f>IFERROR(INT(SMALL('Rozpočet'!$Z$5:$Z$89,3)),"")</f>
        <v/>
      </c>
      <c r="H25" s="21">
        <f>IFERROR(INDEX('Rozpočet'!$G$5:$G$89,MATCH(SMALL('Rozpočet'!$Z$5:$Z$89,3),'Rozpočet'!$Z$5:$Z$89,0)),"")</f>
        <v/>
      </c>
    </row>
    <row r="26" ht="28" customHeight="1">
      <c r="B26" s="18">
        <f>IFERROR(INDEX('Úkoly'!$B$5:$B$89,MATCH(SMALL('Úkoly'!$H$5:$H$89,4),'Úkoly'!$H$5:$H$89,0)),IF(ISNUMBER(DatumSvatby),"",""))</f>
        <v/>
      </c>
      <c r="C26" s="19">
        <f>IFERROR(INT(SMALL('Úkoly'!$H$5:$H$89,4)),"")</f>
        <v/>
      </c>
      <c r="D26" s="20" t="n"/>
      <c r="F26" s="18">
        <f>IFERROR(INDEX('Rozpočet'!$B$5:$B$89,MATCH(SMALL('Rozpočet'!$Z$5:$Z$89,4),'Rozpočet'!$Z$5:$Z$89,0)),"")</f>
        <v/>
      </c>
      <c r="G26" s="19">
        <f>IFERROR(INT(SMALL('Rozpočet'!$Z$5:$Z$89,4)),"")</f>
        <v/>
      </c>
      <c r="H26" s="21">
        <f>IFERROR(INDEX('Rozpočet'!$G$5:$G$89,MATCH(SMALL('Rozpočet'!$Z$5:$Z$89,4),'Rozpočet'!$Z$5:$Z$89,0)),"")</f>
        <v/>
      </c>
    </row>
    <row r="27" ht="28" customHeight="1">
      <c r="B27" s="18">
        <f>IFERROR(INDEX('Úkoly'!$B$5:$B$89,MATCH(SMALL('Úkoly'!$H$5:$H$89,5),'Úkoly'!$H$5:$H$89,0)),IF(ISNUMBER(DatumSvatby),"",""))</f>
        <v/>
      </c>
      <c r="C27" s="19">
        <f>IFERROR(INT(SMALL('Úkoly'!$H$5:$H$89,5)),"")</f>
        <v/>
      </c>
      <c r="D27" s="20" t="n"/>
      <c r="F27" s="18">
        <f>IFERROR(INDEX('Rozpočet'!$B$5:$B$89,MATCH(SMALL('Rozpočet'!$Z$5:$Z$89,5),'Rozpočet'!$Z$5:$Z$89,0)),"")</f>
        <v/>
      </c>
      <c r="G27" s="19">
        <f>IFERROR(INT(SMALL('Rozpočet'!$Z$5:$Z$89,5)),"")</f>
        <v/>
      </c>
      <c r="H27" s="21">
        <f>IFERROR(INDEX('Rozpočet'!$G$5:$G$89,MATCH(SMALL('Rozpočet'!$Z$5:$Z$89,5),'Rozpočet'!$Z$5:$Z$89,0)),"")</f>
        <v/>
      </c>
    </row>
    <row r="29">
      <c r="B29" s="2" t="inlineStr">
        <is>
          <t>Červeně = po termínu.</t>
        </is>
      </c>
    </row>
  </sheetData>
  <mergeCells count="17">
    <mergeCell ref="C12:D12"/>
    <mergeCell ref="C6:D6"/>
    <mergeCell ref="C7:D7"/>
    <mergeCell ref="C16:D16"/>
    <mergeCell ref="G7:H7"/>
    <mergeCell ref="C15:D15"/>
    <mergeCell ref="C24:D24"/>
    <mergeCell ref="C25:D25"/>
    <mergeCell ref="C27:D27"/>
    <mergeCell ref="C26:D26"/>
    <mergeCell ref="C14:D14"/>
    <mergeCell ref="C13:D13"/>
    <mergeCell ref="C23:D23"/>
    <mergeCell ref="C9:D9"/>
    <mergeCell ref="G9:H9"/>
    <mergeCell ref="C17:D17"/>
    <mergeCell ref="C8:D8"/>
  </mergeCells>
  <conditionalFormatting sqref="C13">
    <cfRule type="expression" priority="1" dxfId="0" stopIfTrue="0">
      <formula>AND(ISNUMBER(C13),C13&lt;0)</formula>
    </cfRule>
  </conditionalFormatting>
  <conditionalFormatting sqref="C16">
    <cfRule type="expression" priority="2" dxfId="0" stopIfTrue="0">
      <formula>C16&gt;1</formula>
    </cfRule>
  </conditionalFormatting>
  <conditionalFormatting sqref="C17">
    <cfRule type="expression" priority="3" dxfId="1" stopIfTrue="0">
      <formula>C16&gt;1</formula>
    </cfRule>
  </conditionalFormatting>
  <conditionalFormatting sqref="G19">
    <cfRule type="expression" priority="4" dxfId="0" stopIfTrue="0">
      <formula>G19&gt;0</formula>
    </cfRule>
  </conditionalFormatting>
  <conditionalFormatting sqref="C23">
    <cfRule type="expression" priority="5" dxfId="0" stopIfTrue="0">
      <formula>AND(ISNUMBER(C23),C23&lt;TODAY())</formula>
    </cfRule>
  </conditionalFormatting>
  <conditionalFormatting sqref="G23">
    <cfRule type="expression" priority="6" dxfId="0" stopIfTrue="0">
      <formula>AND(ISNUMBER(G23),G23&lt;TODAY())</formula>
    </cfRule>
  </conditionalFormatting>
  <conditionalFormatting sqref="C24">
    <cfRule type="expression" priority="7" dxfId="0" stopIfTrue="0">
      <formula>AND(ISNUMBER(C24),C24&lt;TODAY())</formula>
    </cfRule>
  </conditionalFormatting>
  <conditionalFormatting sqref="G24">
    <cfRule type="expression" priority="8" dxfId="0" stopIfTrue="0">
      <formula>AND(ISNUMBER(G24),G24&lt;TODAY())</formula>
    </cfRule>
  </conditionalFormatting>
  <conditionalFormatting sqref="C25">
    <cfRule type="expression" priority="9" dxfId="0" stopIfTrue="0">
      <formula>AND(ISNUMBER(C25),C25&lt;TODAY())</formula>
    </cfRule>
  </conditionalFormatting>
  <conditionalFormatting sqref="G25">
    <cfRule type="expression" priority="10" dxfId="0" stopIfTrue="0">
      <formula>AND(ISNUMBER(G25),G25&lt;TODAY())</formula>
    </cfRule>
  </conditionalFormatting>
  <conditionalFormatting sqref="C26">
    <cfRule type="expression" priority="11" dxfId="0" stopIfTrue="0">
      <formula>AND(ISNUMBER(C26),C26&lt;TODAY())</formula>
    </cfRule>
  </conditionalFormatting>
  <conditionalFormatting sqref="G26">
    <cfRule type="expression" priority="12" dxfId="0" stopIfTrue="0">
      <formula>AND(ISNUMBER(G26),G26&lt;TODAY())</formula>
    </cfRule>
  </conditionalFormatting>
  <conditionalFormatting sqref="C27">
    <cfRule type="expression" priority="13" dxfId="0" stopIfTrue="0">
      <formula>AND(ISNUMBER(C27),C27&lt;TODAY())</formula>
    </cfRule>
  </conditionalFormatting>
  <conditionalFormatting sqref="G27">
    <cfRule type="expression" priority="14" dxfId="0" stopIfTrue="0">
      <formula>AND(ISNUMBER(G27),G27&lt;TODAY())</formula>
    </cfRule>
  </conditionalFormatting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H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1" customWidth="1" min="3" max="3"/>
    <col width="13" customWidth="1" min="4" max="4"/>
    <col width="14" customWidth="1" min="5" max="5"/>
    <col width="14" customWidth="1" min="6" max="6"/>
    <col width="34" customWidth="1" min="7" max="7"/>
    <col hidden="1" width="13" customWidth="1" min="8" max="8"/>
  </cols>
  <sheetData>
    <row r="1" ht="34" customHeight="1">
      <c r="A1" s="1" t="inlineStr">
        <is>
          <t>Úkoly</t>
        </is>
      </c>
    </row>
    <row r="2">
      <c r="A2" s="2" t="inlineStr">
        <is>
          <t>Termíny se počítají z data svatby. Hotové označte ve sloupci Stav. Vlastní úkol přidáte do prázdného řádku: stačí napsat, kolik dní před svatbou má být hotový.</t>
        </is>
      </c>
    </row>
    <row r="4" ht="32" customHeight="1">
      <c r="A4" s="22" t="inlineStr">
        <is>
          <t>Fáze</t>
        </is>
      </c>
      <c r="B4" s="22" t="inlineStr">
        <is>
          <t>Úkol</t>
        </is>
      </c>
      <c r="C4" s="23" t="inlineStr">
        <is>
          <t>Dní před svatbou</t>
        </is>
      </c>
      <c r="D4" s="23" t="inlineStr">
        <is>
          <t>Termín</t>
        </is>
      </c>
      <c r="E4" s="23" t="inlineStr">
        <is>
          <t>Stav</t>
        </is>
      </c>
      <c r="F4" s="22" t="inlineStr">
        <is>
          <t>Kdo</t>
        </is>
      </c>
      <c r="G4" s="22" t="inlineStr">
        <is>
          <t>Poznámka</t>
        </is>
      </c>
    </row>
    <row r="5">
      <c r="A5" s="24" t="inlineStr">
        <is>
          <t>12+ měsíců</t>
        </is>
      </c>
      <c r="B5" s="24" t="inlineStr">
        <is>
          <t>Ujasnit si představu: velikost svatby, styl, roční období</t>
        </is>
      </c>
      <c r="C5" s="25" t="n">
        <v>390</v>
      </c>
      <c r="D5" s="26">
        <f>IF(OR($C5="",NOT(ISNUMBER(DatumSvatby))),"",DatumSvatby-$C5)</f>
        <v/>
      </c>
      <c r="E5" s="27" t="inlineStr">
        <is>
          <t>Hotovo</t>
        </is>
      </c>
      <c r="F5" s="24" t="inlineStr">
        <is>
          <t>Oba</t>
        </is>
      </c>
      <c r="G5" s="24" t="n"/>
      <c r="H5">
        <f>IF(OR($E5="Hotovo",$D5=""),"",$D5+ROW()/100000)</f>
        <v/>
      </c>
    </row>
    <row r="6">
      <c r="A6" s="24" t="inlineStr">
        <is>
          <t>12+ měsíců</t>
        </is>
      </c>
      <c r="B6" s="24" t="inlineStr">
        <is>
          <t>Stanovit celkový rozpočet a domluvit, kdo co platí</t>
        </is>
      </c>
      <c r="C6" s="25" t="n">
        <v>380</v>
      </c>
      <c r="D6" s="26">
        <f>IF(OR($C6="",NOT(ISNUMBER(DatumSvatby))),"",DatumSvatby-$C6)</f>
        <v/>
      </c>
      <c r="E6" s="27" t="inlineStr">
        <is>
          <t>Hotovo</t>
        </is>
      </c>
      <c r="F6" s="24" t="n"/>
      <c r="G6" s="24" t="n"/>
      <c r="H6">
        <f>IF(OR($E6="Hotovo",$D6=""),"",$D6+ROW()/100000)</f>
        <v/>
      </c>
    </row>
    <row r="7">
      <c r="A7" s="24" t="inlineStr">
        <is>
          <t>12+ měsíců</t>
        </is>
      </c>
      <c r="B7" s="24" t="inlineStr">
        <is>
          <t>Sepsat první seznam hostů (hrubý odhad počtu)</t>
        </is>
      </c>
      <c r="C7" s="25" t="n">
        <v>370</v>
      </c>
      <c r="D7" s="26">
        <f>IF(OR($C7="",NOT(ISNUMBER(DatumSvatby))),"",DatumSvatby-$C7)</f>
        <v/>
      </c>
      <c r="E7" s="27" t="inlineStr">
        <is>
          <t>Hotovo</t>
        </is>
      </c>
      <c r="F7" s="24" t="n"/>
      <c r="G7" s="24" t="n"/>
      <c r="H7">
        <f>IF(OR($E7="Hotovo",$D7=""),"",$D7+ROW()/100000)</f>
        <v/>
      </c>
    </row>
    <row r="8">
      <c r="A8" s="24" t="inlineStr">
        <is>
          <t>12+ měsíců</t>
        </is>
      </c>
      <c r="B8" s="24" t="inlineStr">
        <is>
          <t>Vybrat termín a 2–3 náhradní</t>
        </is>
      </c>
      <c r="C8" s="25" t="n">
        <v>365</v>
      </c>
      <c r="D8" s="26">
        <f>IF(OR($C8="",NOT(ISNUMBER(DatumSvatby))),"",DatumSvatby-$C8)</f>
        <v/>
      </c>
      <c r="E8" s="27" t="inlineStr">
        <is>
          <t>Hotovo</t>
        </is>
      </c>
      <c r="F8" s="24" t="inlineStr">
        <is>
          <t>Oba</t>
        </is>
      </c>
      <c r="G8" s="24" t="n"/>
      <c r="H8">
        <f>IF(OR($E8="Hotovo",$D8=""),"",$D8+ROW()/100000)</f>
        <v/>
      </c>
    </row>
    <row r="9">
      <c r="A9" s="24" t="inlineStr">
        <is>
          <t>12+ měsíců</t>
        </is>
      </c>
      <c r="B9" s="24" t="inlineStr">
        <is>
          <t>Vybrat a rezervovat místo obřadu i hostiny</t>
        </is>
      </c>
      <c r="C9" s="25" t="n">
        <v>350</v>
      </c>
      <c r="D9" s="26">
        <f>IF(OR($C9="",NOT(ISNUMBER(DatumSvatby))),"",DatumSvatby-$C9)</f>
        <v/>
      </c>
      <c r="E9" s="27" t="inlineStr">
        <is>
          <t>Hotovo</t>
        </is>
      </c>
      <c r="F9" s="24" t="n"/>
      <c r="G9" s="24" t="n"/>
      <c r="H9">
        <f>IF(OR($E9="Hotovo",$D9=""),"",$D9+ROW()/100000)</f>
        <v/>
      </c>
    </row>
    <row r="10">
      <c r="A10" s="24" t="inlineStr">
        <is>
          <t>12+ měsíců</t>
        </is>
      </c>
      <c r="B10" s="24" t="inlineStr">
        <is>
          <t>Zjistit na matrice doklady, lhůty a poplatky pro váš termín a místo</t>
        </is>
      </c>
      <c r="C10" s="25" t="n">
        <v>345</v>
      </c>
      <c r="D10" s="26">
        <f>IF(OR($C10="",NOT(ISNUMBER(DatumSvatby))),"",DatumSvatby-$C10)</f>
        <v/>
      </c>
      <c r="E10" s="27" t="inlineStr">
        <is>
          <t>Hotovo</t>
        </is>
      </c>
      <c r="F10" s="24" t="n"/>
      <c r="G10" s="24" t="n"/>
      <c r="H10">
        <f>IF(OR($E10="Hotovo",$D10=""),"",$D10+ROW()/100000)</f>
        <v/>
      </c>
    </row>
    <row r="11">
      <c r="A11" s="24" t="inlineStr">
        <is>
          <t>12+ měsíců</t>
        </is>
      </c>
      <c r="B11" s="24" t="inlineStr">
        <is>
          <t>Domluvit oddávajícího (matrika, církev, obřadník)</t>
        </is>
      </c>
      <c r="C11" s="25" t="n">
        <v>340</v>
      </c>
      <c r="D11" s="26">
        <f>IF(OR($C11="",NOT(ISNUMBER(DatumSvatby))),"",DatumSvatby-$C11)</f>
        <v/>
      </c>
      <c r="E11" s="27" t="inlineStr">
        <is>
          <t>Hotovo</t>
        </is>
      </c>
      <c r="F11" s="24" t="inlineStr">
        <is>
          <t>Oba</t>
        </is>
      </c>
      <c r="G11" s="24" t="n"/>
      <c r="H11">
        <f>IF(OR($E11="Hotovo",$D11=""),"",$D11+ROW()/100000)</f>
        <v/>
      </c>
    </row>
    <row r="12">
      <c r="A12" s="24" t="inlineStr">
        <is>
          <t>12+ měsíců</t>
        </is>
      </c>
      <c r="B12" s="24" t="inlineStr">
        <is>
          <t>Vybrat a rezervovat fotografa</t>
        </is>
      </c>
      <c r="C12" s="25" t="n">
        <v>330</v>
      </c>
      <c r="D12" s="26">
        <f>IF(OR($C12="",NOT(ISNUMBER(DatumSvatby))),"",DatumSvatby-$C12)</f>
        <v/>
      </c>
      <c r="E12" s="27" t="inlineStr">
        <is>
          <t>Hotovo</t>
        </is>
      </c>
      <c r="F12" s="24" t="n"/>
      <c r="G12" s="24" t="n"/>
      <c r="H12">
        <f>IF(OR($E12="Hotovo",$D12=""),"",$D12+ROW()/100000)</f>
        <v/>
      </c>
    </row>
    <row r="13">
      <c r="A13" s="24" t="inlineStr">
        <is>
          <t>12+ měsíců</t>
        </is>
      </c>
      <c r="B13" s="24" t="inlineStr">
        <is>
          <t>Vybrat a rezervovat kameramana</t>
        </is>
      </c>
      <c r="C13" s="25" t="n">
        <v>320</v>
      </c>
      <c r="D13" s="26">
        <f>IF(OR($C13="",NOT(ISNUMBER(DatumSvatby))),"",DatumSvatby-$C13)</f>
        <v/>
      </c>
      <c r="E13" s="27" t="inlineStr">
        <is>
          <t>Hotovo</t>
        </is>
      </c>
      <c r="F13" s="24" t="n"/>
      <c r="G13" s="24" t="n"/>
      <c r="H13">
        <f>IF(OR($E13="Hotovo",$D13=""),"",$D13+ROW()/100000)</f>
        <v/>
      </c>
    </row>
    <row r="14">
      <c r="A14" s="24" t="inlineStr">
        <is>
          <t>9–12 měsíců</t>
        </is>
      </c>
      <c r="B14" s="24" t="inlineStr">
        <is>
          <t>Vybrat a požádat svědky</t>
        </is>
      </c>
      <c r="C14" s="25" t="n">
        <v>300</v>
      </c>
      <c r="D14" s="26">
        <f>IF(OR($C14="",NOT(ISNUMBER(DatumSvatby))),"",DatumSvatby-$C14)</f>
        <v/>
      </c>
      <c r="E14" s="27" t="inlineStr">
        <is>
          <t>Hotovo</t>
        </is>
      </c>
      <c r="F14" s="24" t="inlineStr">
        <is>
          <t>Oba</t>
        </is>
      </c>
      <c r="G14" s="24" t="n"/>
      <c r="H14">
        <f>IF(OR($E14="Hotovo",$D14=""),"",$D14+ROW()/100000)</f>
        <v/>
      </c>
    </row>
    <row r="15">
      <c r="A15" s="24" t="inlineStr">
        <is>
          <t>9–12 měsíců</t>
        </is>
      </c>
      <c r="B15" s="24" t="inlineStr">
        <is>
          <t>Rezervovat kapelu nebo DJ</t>
        </is>
      </c>
      <c r="C15" s="25" t="n">
        <v>290</v>
      </c>
      <c r="D15" s="26">
        <f>IF(OR($C15="",NOT(ISNUMBER(DatumSvatby))),"",DatumSvatby-$C15)</f>
        <v/>
      </c>
      <c r="E15" s="27" t="inlineStr">
        <is>
          <t>Hotovo</t>
        </is>
      </c>
      <c r="F15" s="24" t="n"/>
      <c r="G15" s="24" t="n"/>
      <c r="H15">
        <f>IF(OR($E15="Hotovo",$D15=""),"",$D15+ROW()/100000)</f>
        <v/>
      </c>
    </row>
    <row r="16">
      <c r="A16" s="24" t="inlineStr">
        <is>
          <t>9–12 měsíců</t>
        </is>
      </c>
      <c r="B16" s="24" t="inlineStr">
        <is>
          <t>Rezervovat catering (pokud není součástí místa)</t>
        </is>
      </c>
      <c r="C16" s="25" t="n">
        <v>285</v>
      </c>
      <c r="D16" s="26">
        <f>IF(OR($C16="",NOT(ISNUMBER(DatumSvatby))),"",DatumSvatby-$C16)</f>
        <v/>
      </c>
      <c r="E16" s="27" t="inlineStr">
        <is>
          <t>Hotovo</t>
        </is>
      </c>
      <c r="F16" s="24" t="n"/>
      <c r="G16" s="24" t="n"/>
      <c r="H16">
        <f>IF(OR($E16="Hotovo",$D16=""),"",$D16+ROW()/100000)</f>
        <v/>
      </c>
    </row>
    <row r="17">
      <c r="A17" s="24" t="inlineStr">
        <is>
          <t>9–12 měsíců</t>
        </is>
      </c>
      <c r="B17" s="24" t="inlineStr">
        <is>
          <t>Poslat „save the date“ hostům, kteří cestují zdaleka</t>
        </is>
      </c>
      <c r="C17" s="25" t="n">
        <v>280</v>
      </c>
      <c r="D17" s="26">
        <f>IF(OR($C17="",NOT(ISNUMBER(DatumSvatby))),"",DatumSvatby-$C17)</f>
        <v/>
      </c>
      <c r="E17" s="27" t="inlineStr">
        <is>
          <t>Hotovo</t>
        </is>
      </c>
      <c r="F17" s="24" t="inlineStr">
        <is>
          <t>Oba</t>
        </is>
      </c>
      <c r="G17" s="24" t="n"/>
      <c r="H17">
        <f>IF(OR($E17="Hotovo",$D17=""),"",$D17+ROW()/100000)</f>
        <v/>
      </c>
    </row>
    <row r="18">
      <c r="A18" s="24" t="inlineStr">
        <is>
          <t>9–12 měsíců</t>
        </is>
      </c>
      <c r="B18" s="24" t="inlineStr">
        <is>
          <t>Sjednotit styl svatby (barvy, výzdoba, nástěnka s inspirací)</t>
        </is>
      </c>
      <c r="C18" s="25" t="n">
        <v>275</v>
      </c>
      <c r="D18" s="26">
        <f>IF(OR($C18="",NOT(ISNUMBER(DatumSvatby))),"",DatumSvatby-$C18)</f>
        <v/>
      </c>
      <c r="E18" s="27" t="inlineStr">
        <is>
          <t>Hotovo</t>
        </is>
      </c>
      <c r="F18" s="24" t="n"/>
      <c r="G18" s="24" t="n"/>
      <c r="H18">
        <f>IF(OR($E18="Hotovo",$D18=""),"",$D18+ROW()/100000)</f>
        <v/>
      </c>
    </row>
    <row r="19">
      <c r="A19" s="24" t="inlineStr">
        <is>
          <t>6–9 měsíců</t>
        </is>
      </c>
      <c r="B19" s="24" t="inlineStr">
        <is>
          <t>Začít vybírat svatební šaty</t>
        </is>
      </c>
      <c r="C19" s="25" t="n">
        <v>250</v>
      </c>
      <c r="D19" s="26">
        <f>IF(OR($C19="",NOT(ISNUMBER(DatumSvatby))),"",DatumSvatby-$C19)</f>
        <v/>
      </c>
      <c r="E19" s="27" t="inlineStr">
        <is>
          <t>Rozpracováno</t>
        </is>
      </c>
      <c r="F19" s="24" t="n"/>
      <c r="G19" s="24" t="n"/>
      <c r="H19">
        <f>IF(OR($E19="Hotovo",$D19=""),"",$D19+ROW()/100000)</f>
        <v/>
      </c>
    </row>
    <row r="20">
      <c r="A20" s="24" t="inlineStr">
        <is>
          <t>6–9 měsíců</t>
        </is>
      </c>
      <c r="B20" s="24" t="inlineStr">
        <is>
          <t>Rezervovat floristku a výzdobu</t>
        </is>
      </c>
      <c r="C20" s="25" t="n">
        <v>230</v>
      </c>
      <c r="D20" s="26">
        <f>IF(OR($C20="",NOT(ISNUMBER(DatumSvatby))),"",DatumSvatby-$C20)</f>
        <v/>
      </c>
      <c r="E20" s="27" t="n"/>
      <c r="F20" s="24" t="inlineStr">
        <is>
          <t>Oba</t>
        </is>
      </c>
      <c r="G20" s="24" t="n"/>
      <c r="H20">
        <f>IF(OR($E20="Hotovo",$D20=""),"",$D20+ROW()/100000)</f>
        <v/>
      </c>
    </row>
    <row r="21">
      <c r="A21" s="24" t="inlineStr">
        <is>
          <t>6–9 měsíců</t>
        </is>
      </c>
      <c r="B21" s="24" t="inlineStr">
        <is>
          <t>Rezervovat kadeřnici a vizážistku</t>
        </is>
      </c>
      <c r="C21" s="25" t="n">
        <v>220</v>
      </c>
      <c r="D21" s="26">
        <f>IF(OR($C21="",NOT(ISNUMBER(DatumSvatby))),"",DatumSvatby-$C21)</f>
        <v/>
      </c>
      <c r="E21" s="27" t="n"/>
      <c r="F21" s="24" t="n"/>
      <c r="G21" s="24" t="n"/>
      <c r="H21">
        <f>IF(OR($E21="Hotovo",$D21=""),"",$D21+ROW()/100000)</f>
        <v/>
      </c>
    </row>
    <row r="22">
      <c r="A22" s="24" t="inlineStr">
        <is>
          <t>6–9 měsíců</t>
        </is>
      </c>
      <c r="B22" s="24" t="inlineStr">
        <is>
          <t>Zajistit ubytování pro hosty</t>
        </is>
      </c>
      <c r="C22" s="25" t="n">
        <v>210</v>
      </c>
      <c r="D22" s="26">
        <f>IF(OR($C22="",NOT(ISNUMBER(DatumSvatby))),"",DatumSvatby-$C22)</f>
        <v/>
      </c>
      <c r="E22" s="27" t="n"/>
      <c r="F22" s="24" t="n"/>
      <c r="G22" s="24" t="n"/>
      <c r="H22">
        <f>IF(OR($E22="Hotovo",$D22=""),"",$D22+ROW()/100000)</f>
        <v/>
      </c>
    </row>
    <row r="23">
      <c r="A23" s="24" t="inlineStr">
        <is>
          <t>6–9 měsíců</t>
        </is>
      </c>
      <c r="B23" s="24" t="inlineStr">
        <is>
          <t>Naplánovat svatební cestu, zkontrolovat platnost pasů</t>
        </is>
      </c>
      <c r="C23" s="25" t="n">
        <v>200</v>
      </c>
      <c r="D23" s="26">
        <f>IF(OR($C23="",NOT(ISNUMBER(DatumSvatby))),"",DatumSvatby-$C23)</f>
        <v/>
      </c>
      <c r="E23" s="27" t="n"/>
      <c r="F23" s="24" t="inlineStr">
        <is>
          <t>Oba</t>
        </is>
      </c>
      <c r="G23" s="24" t="n"/>
      <c r="H23">
        <f>IF(OR($E23="Hotovo",$D23=""),"",$D23+ROW()/100000)</f>
        <v/>
      </c>
    </row>
    <row r="24">
      <c r="A24" s="24" t="inlineStr">
        <is>
          <t>6–9 měsíců</t>
        </is>
      </c>
      <c r="B24" s="24" t="inlineStr">
        <is>
          <t>Vybrat oblek pro ženicha</t>
        </is>
      </c>
      <c r="C24" s="25" t="n">
        <v>190</v>
      </c>
      <c r="D24" s="26">
        <f>IF(OR($C24="",NOT(ISNUMBER(DatumSvatby))),"",DatumSvatby-$C24)</f>
        <v/>
      </c>
      <c r="E24" s="27" t="n"/>
      <c r="F24" s="24" t="n"/>
      <c r="G24" s="24" t="n"/>
      <c r="H24">
        <f>IF(OR($E24="Hotovo",$D24=""),"",$D24+ROW()/100000)</f>
        <v/>
      </c>
    </row>
    <row r="25">
      <c r="A25" s="24" t="inlineStr">
        <is>
          <t>6–9 měsíců</t>
        </is>
      </c>
      <c r="B25" s="24" t="inlineStr">
        <is>
          <t>Rezervovat dopravu (svatební auto, autobus pro hosty)</t>
        </is>
      </c>
      <c r="C25" s="25" t="n">
        <v>185</v>
      </c>
      <c r="D25" s="26">
        <f>IF(OR($C25="",NOT(ISNUMBER(DatumSvatby))),"",DatumSvatby-$C25)</f>
        <v/>
      </c>
      <c r="E25" s="27" t="n"/>
      <c r="F25" s="24" t="n"/>
      <c r="G25" s="24" t="n"/>
      <c r="H25">
        <f>IF(OR($E25="Hotovo",$D25=""),"",$D25+ROW()/100000)</f>
        <v/>
      </c>
    </row>
    <row r="26">
      <c r="A26" s="24" t="inlineStr">
        <is>
          <t>3–6 měsíců</t>
        </is>
      </c>
      <c r="B26" s="24" t="inlineStr">
        <is>
          <t>Objednat snubní prsteny</t>
        </is>
      </c>
      <c r="C26" s="25" t="n">
        <v>160</v>
      </c>
      <c r="D26" s="26">
        <f>IF(OR($C26="",NOT(ISNUMBER(DatumSvatby))),"",DatumSvatby-$C26)</f>
        <v/>
      </c>
      <c r="E26" s="27" t="n"/>
      <c r="F26" s="24" t="inlineStr">
        <is>
          <t>Oba</t>
        </is>
      </c>
      <c r="G26" s="24" t="n"/>
      <c r="H26">
        <f>IF(OR($E26="Hotovo",$D26=""),"",$D26+ROW()/100000)</f>
        <v/>
      </c>
    </row>
    <row r="27">
      <c r="A27" s="24" t="inlineStr">
        <is>
          <t>3–6 měsíců</t>
        </is>
      </c>
      <c r="B27" s="24" t="inlineStr">
        <is>
          <t>Objednat svatební oznámení a pozvánky na hostinu</t>
        </is>
      </c>
      <c r="C27" s="25" t="n">
        <v>150</v>
      </c>
      <c r="D27" s="26">
        <f>IF(OR($C27="",NOT(ISNUMBER(DatumSvatby))),"",DatumSvatby-$C27)</f>
        <v/>
      </c>
      <c r="E27" s="27" t="n"/>
      <c r="F27" s="24" t="n"/>
      <c r="G27" s="24" t="n"/>
      <c r="H27">
        <f>IF(OR($E27="Hotovo",$D27=""),"",$D27+ROW()/100000)</f>
        <v/>
      </c>
    </row>
    <row r="28">
      <c r="A28" s="24" t="inlineStr">
        <is>
          <t>3–6 měsíců</t>
        </is>
      </c>
      <c r="B28" s="24" t="inlineStr">
        <is>
          <t>Objednat svatební dort a koláčky</t>
        </is>
      </c>
      <c r="C28" s="25" t="n">
        <v>130</v>
      </c>
      <c r="D28" s="26">
        <f>IF(OR($C28="",NOT(ISNUMBER(DatumSvatby))),"",DatumSvatby-$C28)</f>
        <v/>
      </c>
      <c r="E28" s="27" t="n"/>
      <c r="F28" s="24" t="n"/>
      <c r="G28" s="24" t="n"/>
      <c r="H28">
        <f>IF(OR($E28="Hotovo",$D28=""),"",$D28+ROW()/100000)</f>
        <v/>
      </c>
    </row>
    <row r="29">
      <c r="A29" s="24" t="inlineStr">
        <is>
          <t>3–6 měsíců</t>
        </is>
      </c>
      <c r="B29" s="24" t="inlineStr">
        <is>
          <t>Ochutnávka menu a výběr jídla</t>
        </is>
      </c>
      <c r="C29" s="25" t="n">
        <v>110</v>
      </c>
      <c r="D29" s="26">
        <f>IF(OR($C29="",NOT(ISNUMBER(DatumSvatby))),"",DatumSvatby-$C29)</f>
        <v/>
      </c>
      <c r="E29" s="27" t="n"/>
      <c r="F29" s="24" t="inlineStr">
        <is>
          <t>Oba</t>
        </is>
      </c>
      <c r="G29" s="24" t="n"/>
      <c r="H29">
        <f>IF(OR($E29="Hotovo",$D29=""),"",$D29+ROW()/100000)</f>
        <v/>
      </c>
    </row>
    <row r="30">
      <c r="A30" s="24" t="inlineStr">
        <is>
          <t>3–6 měsíců</t>
        </is>
      </c>
      <c r="B30" s="24" t="inlineStr">
        <is>
          <t>Rozeslat oznámení a pozvánky</t>
        </is>
      </c>
      <c r="C30" s="25" t="n">
        <v>100</v>
      </c>
      <c r="D30" s="26">
        <f>IF(OR($C30="",NOT(ISNUMBER(DatumSvatby))),"",DatumSvatby-$C30)</f>
        <v/>
      </c>
      <c r="E30" s="27" t="n"/>
      <c r="F30" s="24" t="n"/>
      <c r="G30" s="24" t="n"/>
      <c r="H30">
        <f>IF(OR($E30="Hotovo",$D30=""),"",$D30+ROW()/100000)</f>
        <v/>
      </c>
    </row>
    <row r="31">
      <c r="A31" s="24" t="inlineStr">
        <is>
          <t>3–6 měsíců</t>
        </is>
      </c>
      <c r="B31" s="24" t="inlineStr">
        <is>
          <t>Domluvit program: proslovy, hry, první tanec</t>
        </is>
      </c>
      <c r="C31" s="25" t="n">
        <v>95</v>
      </c>
      <c r="D31" s="26">
        <f>IF(OR($C31="",NOT(ISNUMBER(DatumSvatby))),"",DatumSvatby-$C31)</f>
        <v/>
      </c>
      <c r="E31" s="27" t="n"/>
      <c r="F31" s="24" t="n"/>
      <c r="G31" s="24" t="n"/>
      <c r="H31">
        <f>IF(OR($E31="Hotovo",$D31=""),"",$D31+ROW()/100000)</f>
        <v/>
      </c>
    </row>
    <row r="32">
      <c r="A32" s="24" t="inlineStr">
        <is>
          <t>3–6 měsíců</t>
        </is>
      </c>
      <c r="B32" s="24" t="inlineStr">
        <is>
          <t>Zkouška účesu a líčení</t>
        </is>
      </c>
      <c r="C32" s="25" t="n">
        <v>90</v>
      </c>
      <c r="D32" s="26">
        <f>IF(OR($C32="",NOT(ISNUMBER(DatumSvatby))),"",DatumSvatby-$C32)</f>
        <v/>
      </c>
      <c r="E32" s="27" t="n"/>
      <c r="F32" s="24" t="inlineStr">
        <is>
          <t>Oba</t>
        </is>
      </c>
      <c r="G32" s="24" t="n"/>
      <c r="H32">
        <f>IF(OR($E32="Hotovo",$D32=""),"",$D32+ROW()/100000)</f>
        <v/>
      </c>
    </row>
    <row r="33">
      <c r="A33" s="24" t="inlineStr">
        <is>
          <t>1–3 měsíce</t>
        </is>
      </c>
      <c r="B33" s="24" t="inlineStr">
        <is>
          <t>Podat na matrice dotazník k uzavření manželství s doklady</t>
        </is>
      </c>
      <c r="C33" s="25" t="n">
        <v>75</v>
      </c>
      <c r="D33" s="26">
        <f>IF(OR($C33="",NOT(ISNUMBER(DatumSvatby))),"",DatumSvatby-$C33)</f>
        <v/>
      </c>
      <c r="E33" s="27" t="n"/>
      <c r="F33" s="24" t="n"/>
      <c r="G33" s="24" t="n"/>
      <c r="H33">
        <f>IF(OR($E33="Hotovo",$D33=""),"",$D33+ROW()/100000)</f>
        <v/>
      </c>
    </row>
    <row r="34">
      <c r="A34" s="24" t="inlineStr">
        <is>
          <t>1–3 měsíce</t>
        </is>
      </c>
      <c r="B34" s="24" t="inlineStr">
        <is>
          <t>Rozhodnout o příjmení po svatbě (uvádí se v dotazníku)</t>
        </is>
      </c>
      <c r="C34" s="25" t="n">
        <v>75</v>
      </c>
      <c r="D34" s="26">
        <f>IF(OR($C34="",NOT(ISNUMBER(DatumSvatby))),"",DatumSvatby-$C34)</f>
        <v/>
      </c>
      <c r="E34" s="27" t="n"/>
      <c r="F34" s="24" t="n"/>
      <c r="G34" s="24" t="n"/>
      <c r="H34">
        <f>IF(OR($E34="Hotovo",$D34=""),"",$D34+ROW()/100000)</f>
        <v/>
      </c>
    </row>
    <row r="35">
      <c r="A35" s="24" t="inlineStr">
        <is>
          <t>1–3 měsíce</t>
        </is>
      </c>
      <c r="B35" s="24" t="inlineStr">
        <is>
          <t>Nacvičit první tanec</t>
        </is>
      </c>
      <c r="C35" s="25" t="n">
        <v>60</v>
      </c>
      <c r="D35" s="26">
        <f>IF(OR($C35="",NOT(ISNUMBER(DatumSvatby))),"",DatumSvatby-$C35)</f>
        <v/>
      </c>
      <c r="E35" s="27" t="n"/>
      <c r="F35" s="24" t="inlineStr">
        <is>
          <t>Oba</t>
        </is>
      </c>
      <c r="G35" s="24" t="n"/>
      <c r="H35">
        <f>IF(OR($E35="Hotovo",$D35=""),"",$D35+ROW()/100000)</f>
        <v/>
      </c>
    </row>
    <row r="36">
      <c r="A36" s="24" t="inlineStr">
        <is>
          <t>1–3 měsíce</t>
        </is>
      </c>
      <c r="B36" s="24" t="inlineStr">
        <is>
          <t>Koupit doplňky: boty, závoj, kravata, podvazek</t>
        </is>
      </c>
      <c r="C36" s="25" t="n">
        <v>50</v>
      </c>
      <c r="D36" s="26">
        <f>IF(OR($C36="",NOT(ISNUMBER(DatumSvatby))),"",DatumSvatby-$C36)</f>
        <v/>
      </c>
      <c r="E36" s="27" t="n"/>
      <c r="F36" s="24" t="n"/>
      <c r="G36" s="24" t="n"/>
      <c r="H36">
        <f>IF(OR($E36="Hotovo",$D36=""),"",$D36+ROW()/100000)</f>
        <v/>
      </c>
    </row>
    <row r="37">
      <c r="A37" s="24" t="inlineStr">
        <is>
          <t>1–3 měsíce</t>
        </is>
      </c>
      <c r="B37" s="24" t="inlineStr">
        <is>
          <t>Doplatit zálohy podle smluv s dodavateli</t>
        </is>
      </c>
      <c r="C37" s="25" t="n">
        <v>45</v>
      </c>
      <c r="D37" s="26">
        <f>IF(OR($C37="",NOT(ISNUMBER(DatumSvatby))),"",DatumSvatby-$C37)</f>
        <v/>
      </c>
      <c r="E37" s="27" t="n"/>
      <c r="F37" s="24" t="n"/>
      <c r="G37" s="24" t="n"/>
      <c r="H37">
        <f>IF(OR($E37="Hotovo",$D37=""),"",$D37+ROW()/100000)</f>
        <v/>
      </c>
    </row>
    <row r="38">
      <c r="A38" s="24" t="inlineStr">
        <is>
          <t>1–3 měsíce</t>
        </is>
      </c>
      <c r="B38" s="24" t="inlineStr">
        <is>
          <t>Zkouška šatů a úpravy</t>
        </is>
      </c>
      <c r="C38" s="25" t="n">
        <v>40</v>
      </c>
      <c r="D38" s="26">
        <f>IF(OR($C38="",NOT(ISNUMBER(DatumSvatby))),"",DatumSvatby-$C38)</f>
        <v/>
      </c>
      <c r="E38" s="27" t="n"/>
      <c r="F38" s="24" t="inlineStr">
        <is>
          <t>Oba</t>
        </is>
      </c>
      <c r="G38" s="24" t="n"/>
      <c r="H38">
        <f>IF(OR($E38="Hotovo",$D38=""),"",$D38+ROW()/100000)</f>
        <v/>
      </c>
    </row>
    <row r="39">
      <c r="A39" s="24" t="inlineStr">
        <is>
          <t>1–3 měsíce</t>
        </is>
      </c>
      <c r="B39" s="24" t="inlineStr">
        <is>
          <t>Připomenout se hostům, kteří neodpověděli</t>
        </is>
      </c>
      <c r="C39" s="25" t="n">
        <v>35</v>
      </c>
      <c r="D39" s="26">
        <f>IF(OR($C39="",NOT(ISNUMBER(DatumSvatby))),"",DatumSvatby-$C39)</f>
        <v/>
      </c>
      <c r="E39" s="27" t="n"/>
      <c r="F39" s="24" t="n"/>
      <c r="G39" s="24" t="n"/>
      <c r="H39">
        <f>IF(OR($E39="Hotovo",$D39=""),"",$D39+ROW()/100000)</f>
        <v/>
      </c>
    </row>
    <row r="40">
      <c r="A40" s="24" t="inlineStr">
        <is>
          <t>1–3 měsíce</t>
        </is>
      </c>
      <c r="B40" s="24" t="inlineStr">
        <is>
          <t>Sepsat harmonogram dne D a poslat ho dodavatelům</t>
        </is>
      </c>
      <c r="C40" s="25" t="n">
        <v>35</v>
      </c>
      <c r="D40" s="26">
        <f>IF(OR($C40="",NOT(ISNUMBER(DatumSvatby))),"",DatumSvatby-$C40)</f>
        <v/>
      </c>
      <c r="E40" s="27" t="n"/>
      <c r="F40" s="24" t="n"/>
      <c r="G40" s="24" t="n"/>
      <c r="H40">
        <f>IF(OR($E40="Hotovo",$D40=""),"",$D40+ROW()/100000)</f>
        <v/>
      </c>
    </row>
    <row r="41">
      <c r="A41" s="24" t="inlineStr">
        <is>
          <t>1–3 měsíce</t>
        </is>
      </c>
      <c r="B41" s="24" t="inlineStr">
        <is>
          <t>Nahlásit konečný počet hostů místu a cateringu</t>
        </is>
      </c>
      <c r="C41" s="25" t="n">
        <v>30</v>
      </c>
      <c r="D41" s="26">
        <f>IF(OR($C41="",NOT(ISNUMBER(DatumSvatby))),"",DatumSvatby-$C41)</f>
        <v/>
      </c>
      <c r="E41" s="27" t="n"/>
      <c r="F41" s="24" t="inlineStr">
        <is>
          <t>Oba</t>
        </is>
      </c>
      <c r="G41" s="24" t="n"/>
      <c r="H41">
        <f>IF(OR($E41="Hotovo",$D41=""),"",$D41+ROW()/100000)</f>
        <v/>
      </c>
    </row>
    <row r="42">
      <c r="A42" s="24" t="inlineStr">
        <is>
          <t>1–3 měsíce</t>
        </is>
      </c>
      <c r="B42" s="24" t="inlineStr">
        <is>
          <t>Připravit zasedací pořádek</t>
        </is>
      </c>
      <c r="C42" s="25" t="n">
        <v>30</v>
      </c>
      <c r="D42" s="26">
        <f>IF(OR($C42="",NOT(ISNUMBER(DatumSvatby))),"",DatumSvatby-$C42)</f>
        <v/>
      </c>
      <c r="E42" s="27" t="n"/>
      <c r="F42" s="24" t="n"/>
      <c r="G42" s="24" t="n"/>
      <c r="H42">
        <f>IF(OR($E42="Hotovo",$D42=""),"",$D42+ROW()/100000)</f>
        <v/>
      </c>
    </row>
    <row r="43">
      <c r="A43" s="24" t="inlineStr">
        <is>
          <t>2–4 týdny</t>
        </is>
      </c>
      <c r="B43" s="24" t="inlineStr">
        <is>
          <t>Vyzvednout snubní prsteny a zkontrolovat velikost</t>
        </is>
      </c>
      <c r="C43" s="25" t="n">
        <v>21</v>
      </c>
      <c r="D43" s="26">
        <f>IF(OR($C43="",NOT(ISNUMBER(DatumSvatby))),"",DatumSvatby-$C43)</f>
        <v/>
      </c>
      <c r="E43" s="27" t="n"/>
      <c r="F43" s="24" t="n"/>
      <c r="G43" s="24" t="n"/>
      <c r="H43">
        <f>IF(OR($E43="Hotovo",$D43=""),"",$D43+ROW()/100000)</f>
        <v/>
      </c>
    </row>
    <row r="44">
      <c r="A44" s="24" t="inlineStr">
        <is>
          <t>2–4 týdny</t>
        </is>
      </c>
      <c r="B44" s="24" t="inlineStr">
        <is>
          <t>Připravit jmenovky, menu a tabuli se zasedacím pořádkem</t>
        </is>
      </c>
      <c r="C44" s="25" t="n">
        <v>21</v>
      </c>
      <c r="D44" s="26">
        <f>IF(OR($C44="",NOT(ISNUMBER(DatumSvatby))),"",DatumSvatby-$C44)</f>
        <v/>
      </c>
      <c r="E44" s="27" t="n"/>
      <c r="F44" s="24" t="inlineStr">
        <is>
          <t>Oba</t>
        </is>
      </c>
      <c r="G44" s="24" t="n"/>
      <c r="H44">
        <f>IF(OR($E44="Hotovo",$D44=""),"",$D44+ROW()/100000)</f>
        <v/>
      </c>
    </row>
    <row r="45">
      <c r="A45" s="24" t="inlineStr">
        <is>
          <t>2–4 týdny</t>
        </is>
      </c>
      <c r="B45" s="24" t="inlineStr">
        <is>
          <t>Potvrdit časy se všemi dodavateli</t>
        </is>
      </c>
      <c r="C45" s="25" t="n">
        <v>14</v>
      </c>
      <c r="D45" s="26">
        <f>IF(OR($C45="",NOT(ISNUMBER(DatumSvatby))),"",DatumSvatby-$C45)</f>
        <v/>
      </c>
      <c r="E45" s="27" t="n"/>
      <c r="F45" s="24" t="n"/>
      <c r="G45" s="24" t="n"/>
      <c r="H45">
        <f>IF(OR($E45="Hotovo",$D45=""),"",$D45+ROW()/100000)</f>
        <v/>
      </c>
    </row>
    <row r="46">
      <c r="A46" s="24" t="inlineStr">
        <is>
          <t>2–4 týdny</t>
        </is>
      </c>
      <c r="B46" s="24" t="inlineStr">
        <is>
          <t>Připravit obálky s doplatky pro dodavatele</t>
        </is>
      </c>
      <c r="C46" s="25" t="n">
        <v>10</v>
      </c>
      <c r="D46" s="26">
        <f>IF(OR($C46="",NOT(ISNUMBER(DatumSvatby))),"",DatumSvatby-$C46)</f>
        <v/>
      </c>
      <c r="E46" s="27" t="n"/>
      <c r="F46" s="24" t="n"/>
      <c r="G46" s="24" t="n"/>
      <c r="H46">
        <f>IF(OR($E46="Hotovo",$D46=""),"",$D46+ROW()/100000)</f>
        <v/>
      </c>
    </row>
    <row r="47">
      <c r="A47" s="24" t="inlineStr">
        <is>
          <t>2–4 týdny</t>
        </is>
      </c>
      <c r="B47" s="24" t="inlineStr">
        <is>
          <t>Rozdělit úkoly na den D svědkům a pomocníkům</t>
        </is>
      </c>
      <c r="C47" s="25" t="n">
        <v>10</v>
      </c>
      <c r="D47" s="26">
        <f>IF(OR($C47="",NOT(ISNUMBER(DatumSvatby))),"",DatumSvatby-$C47)</f>
        <v/>
      </c>
      <c r="E47" s="27" t="n"/>
      <c r="F47" s="24" t="inlineStr">
        <is>
          <t>Oba</t>
        </is>
      </c>
      <c r="G47" s="24" t="n"/>
      <c r="H47">
        <f>IF(OR($E47="Hotovo",$D47=""),"",$D47+ROW()/100000)</f>
        <v/>
      </c>
    </row>
    <row r="48">
      <c r="A48" s="24" t="inlineStr">
        <is>
          <t>Poslední týden</t>
        </is>
      </c>
      <c r="B48" s="24" t="inlineStr">
        <is>
          <t>Poslední zkouška šatů</t>
        </is>
      </c>
      <c r="C48" s="25" t="n">
        <v>7</v>
      </c>
      <c r="D48" s="26">
        <f>IF(OR($C48="",NOT(ISNUMBER(DatumSvatby))),"",DatumSvatby-$C48)</f>
        <v/>
      </c>
      <c r="E48" s="27" t="n"/>
      <c r="F48" s="24" t="n"/>
      <c r="G48" s="24" t="n"/>
      <c r="H48">
        <f>IF(OR($E48="Hotovo",$D48=""),"",$D48+ROW()/100000)</f>
        <v/>
      </c>
    </row>
    <row r="49">
      <c r="A49" s="24" t="inlineStr">
        <is>
          <t>Poslední týden</t>
        </is>
      </c>
      <c r="B49" s="24" t="inlineStr">
        <is>
          <t>Sbalit nouzovou tašku (jehla a nit, náplasti, léky, deodorant)</t>
        </is>
      </c>
      <c r="C49" s="25" t="n">
        <v>4</v>
      </c>
      <c r="D49" s="26">
        <f>IF(OR($C49="",NOT(ISNUMBER(DatumSvatby))),"",DatumSvatby-$C49)</f>
        <v/>
      </c>
      <c r="E49" s="27" t="n"/>
      <c r="F49" s="24" t="n"/>
      <c r="G49" s="24" t="n"/>
      <c r="H49">
        <f>IF(OR($E49="Hotovo",$D49=""),"",$D49+ROW()/100000)</f>
        <v/>
      </c>
    </row>
    <row r="50">
      <c r="A50" s="24" t="inlineStr">
        <is>
          <t>Poslední týden</t>
        </is>
      </c>
      <c r="B50" s="24" t="inlineStr">
        <is>
          <t>Odvézt výzdobu a věci na místo konání</t>
        </is>
      </c>
      <c r="C50" s="25" t="n">
        <v>2</v>
      </c>
      <c r="D50" s="26">
        <f>IF(OR($C50="",NOT(ISNUMBER(DatumSvatby))),"",DatumSvatby-$C50)</f>
        <v/>
      </c>
      <c r="E50" s="27" t="n"/>
      <c r="F50" s="24" t="inlineStr">
        <is>
          <t>Oba</t>
        </is>
      </c>
      <c r="G50" s="24" t="n"/>
      <c r="H50">
        <f>IF(OR($E50="Hotovo",$D50=""),"",$D50+ROW()/100000)</f>
        <v/>
      </c>
    </row>
    <row r="51">
      <c r="A51" s="24" t="inlineStr">
        <is>
          <t>Poslední týden</t>
        </is>
      </c>
      <c r="B51" s="24" t="inlineStr">
        <is>
          <t>Odpočinout si a jít brzy spát</t>
        </is>
      </c>
      <c r="C51" s="25" t="n">
        <v>1</v>
      </c>
      <c r="D51" s="26">
        <f>IF(OR($C51="",NOT(ISNUMBER(DatumSvatby))),"",DatumSvatby-$C51)</f>
        <v/>
      </c>
      <c r="E51" s="27" t="n"/>
      <c r="F51" s="24" t="n"/>
      <c r="G51" s="24" t="n"/>
      <c r="H51">
        <f>IF(OR($E51="Hotovo",$D51=""),"",$D51+ROW()/100000)</f>
        <v/>
      </c>
    </row>
    <row r="52">
      <c r="A52" s="24" t="inlineStr">
        <is>
          <t>Den D</t>
        </is>
      </c>
      <c r="B52" s="24" t="inlineStr">
        <is>
          <t>Občanské průkazy a prsteny má u sebe svědek</t>
        </is>
      </c>
      <c r="C52" s="25" t="n">
        <v>0</v>
      </c>
      <c r="D52" s="26">
        <f>IF(OR($C52="",NOT(ISNUMBER(DatumSvatby))),"",DatumSvatby-$C52)</f>
        <v/>
      </c>
      <c r="E52" s="27" t="n"/>
      <c r="F52" s="24" t="n"/>
      <c r="G52" s="24" t="n"/>
      <c r="H52">
        <f>IF(OR($E52="Hotovo",$D52=""),"",$D52+ROW()/100000)</f>
        <v/>
      </c>
    </row>
    <row r="53">
      <c r="A53" s="24" t="inlineStr">
        <is>
          <t>Den D</t>
        </is>
      </c>
      <c r="B53" s="24" t="inlineStr">
        <is>
          <t>Najíst se a užít si to</t>
        </is>
      </c>
      <c r="C53" s="25" t="n">
        <v>0</v>
      </c>
      <c r="D53" s="26">
        <f>IF(OR($C53="",NOT(ISNUMBER(DatumSvatby))),"",DatumSvatby-$C53)</f>
        <v/>
      </c>
      <c r="E53" s="27" t="n"/>
      <c r="F53" s="24" t="inlineStr">
        <is>
          <t>Oba</t>
        </is>
      </c>
      <c r="G53" s="24" t="n"/>
      <c r="H53">
        <f>IF(OR($E53="Hotovo",$D53=""),"",$D53+ROW()/100000)</f>
        <v/>
      </c>
    </row>
    <row r="54">
      <c r="A54" s="24" t="inlineStr">
        <is>
          <t>Po svatbě</t>
        </is>
      </c>
      <c r="B54" s="24" t="inlineStr">
        <is>
          <t>Vrátit půjčené věci (oblek, dekorace)</t>
        </is>
      </c>
      <c r="C54" s="25" t="n">
        <v>-7</v>
      </c>
      <c r="D54" s="26">
        <f>IF(OR($C54="",NOT(ISNUMBER(DatumSvatby))),"",DatumSvatby-$C54)</f>
        <v/>
      </c>
      <c r="E54" s="27" t="n"/>
      <c r="F54" s="24" t="n"/>
      <c r="G54" s="24" t="n"/>
      <c r="H54">
        <f>IF(OR($E54="Hotovo",$D54=""),"",$D54+ROW()/100000)</f>
        <v/>
      </c>
    </row>
    <row r="55">
      <c r="A55" s="24" t="inlineStr">
        <is>
          <t>Po svatbě</t>
        </is>
      </c>
      <c r="B55" s="24" t="inlineStr">
        <is>
          <t>Vyzvednout oddací list, pokud jste ho nedostali při obřadu</t>
        </is>
      </c>
      <c r="C55" s="25" t="n">
        <v>-7</v>
      </c>
      <c r="D55" s="26">
        <f>IF(OR($C55="",NOT(ISNUMBER(DatumSvatby))),"",DatumSvatby-$C55)</f>
        <v/>
      </c>
      <c r="E55" s="27" t="n"/>
      <c r="F55" s="24" t="n"/>
      <c r="G55" s="24" t="n"/>
      <c r="H55">
        <f>IF(OR($E55="Hotovo",$D55=""),"",$D55+ROW()/100000)</f>
        <v/>
      </c>
    </row>
    <row r="56">
      <c r="A56" s="24" t="inlineStr">
        <is>
          <t>Po svatbě</t>
        </is>
      </c>
      <c r="B56" s="24" t="inlineStr">
        <is>
          <t>Vyřídit nové doklady po změně příjmení (lhůtu ověřte na úřadě)</t>
        </is>
      </c>
      <c r="C56" s="25" t="n">
        <v>-7</v>
      </c>
      <c r="D56" s="26">
        <f>IF(OR($C56="",NOT(ISNUMBER(DatumSvatby))),"",DatumSvatby-$C56)</f>
        <v/>
      </c>
      <c r="E56" s="27" t="n"/>
      <c r="F56" s="24" t="inlineStr">
        <is>
          <t>Oba</t>
        </is>
      </c>
      <c r="G56" s="24" t="n"/>
      <c r="H56">
        <f>IF(OR($E56="Hotovo",$D56=""),"",$D56+ROW()/100000)</f>
        <v/>
      </c>
    </row>
    <row r="57">
      <c r="A57" s="24" t="inlineStr">
        <is>
          <t>Po svatbě</t>
        </is>
      </c>
      <c r="B57" s="24" t="inlineStr">
        <is>
          <t>Nahlásit změnu jména bance, pojišťovně a zaměstnavateli</t>
        </is>
      </c>
      <c r="C57" s="25" t="n">
        <v>-14</v>
      </c>
      <c r="D57" s="26">
        <f>IF(OR($C57="",NOT(ISNUMBER(DatumSvatby))),"",DatumSvatby-$C57)</f>
        <v/>
      </c>
      <c r="E57" s="27" t="n"/>
      <c r="F57" s="24" t="n"/>
      <c r="G57" s="24" t="n"/>
      <c r="H57">
        <f>IF(OR($E57="Hotovo",$D57=""),"",$D57+ROW()/100000)</f>
        <v/>
      </c>
    </row>
    <row r="58">
      <c r="A58" s="24" t="inlineStr">
        <is>
          <t>Po svatbě</t>
        </is>
      </c>
      <c r="B58" s="24" t="inlineStr">
        <is>
          <t>Poděkovat hostům a dodavatelům</t>
        </is>
      </c>
      <c r="C58" s="25" t="n">
        <v>-14</v>
      </c>
      <c r="D58" s="26">
        <f>IF(OR($C58="",NOT(ISNUMBER(DatumSvatby))),"",DatumSvatby-$C58)</f>
        <v/>
      </c>
      <c r="E58" s="27" t="n"/>
      <c r="F58" s="24" t="n"/>
      <c r="G58" s="24" t="n"/>
      <c r="H58">
        <f>IF(OR($E58="Hotovo",$D58=""),"",$D58+ROW()/100000)</f>
        <v/>
      </c>
    </row>
    <row r="59">
      <c r="A59" s="24" t="inlineStr">
        <is>
          <t>Po svatbě</t>
        </is>
      </c>
      <c r="B59" s="24" t="inlineStr">
        <is>
          <t>Vybrat fotky a objednat album</t>
        </is>
      </c>
      <c r="C59" s="25" t="n">
        <v>-60</v>
      </c>
      <c r="D59" s="26">
        <f>IF(OR($C59="",NOT(ISNUMBER(DatumSvatby))),"",DatumSvatby-$C59)</f>
        <v/>
      </c>
      <c r="E59" s="27" t="n"/>
      <c r="F59" s="24" t="inlineStr">
        <is>
          <t>Oba</t>
        </is>
      </c>
      <c r="G59" s="24" t="n"/>
      <c r="H59">
        <f>IF(OR($E59="Hotovo",$D59=""),"",$D59+ROW()/100000)</f>
        <v/>
      </c>
    </row>
    <row r="60">
      <c r="A60" s="24" t="n"/>
      <c r="B60" s="24" t="n"/>
      <c r="C60" s="25" t="n"/>
      <c r="D60" s="26">
        <f>IF(OR($C60="",NOT(ISNUMBER(DatumSvatby))),"",DatumSvatby-$C60)</f>
        <v/>
      </c>
      <c r="E60" s="27" t="n"/>
      <c r="F60" s="24" t="n"/>
      <c r="G60" s="24" t="n"/>
      <c r="H60">
        <f>IF(OR($E60="Hotovo",$D60=""),"",$D60+ROW()/100000)</f>
        <v/>
      </c>
    </row>
    <row r="61">
      <c r="A61" s="24" t="n"/>
      <c r="B61" s="24" t="n"/>
      <c r="C61" s="25" t="n"/>
      <c r="D61" s="26">
        <f>IF(OR($C61="",NOT(ISNUMBER(DatumSvatby))),"",DatumSvatby-$C61)</f>
        <v/>
      </c>
      <c r="E61" s="27" t="n"/>
      <c r="F61" s="24" t="n"/>
      <c r="G61" s="24" t="n"/>
      <c r="H61">
        <f>IF(OR($E61="Hotovo",$D61=""),"",$D61+ROW()/100000)</f>
        <v/>
      </c>
    </row>
    <row r="62">
      <c r="A62" s="24" t="n"/>
      <c r="B62" s="24" t="n"/>
      <c r="C62" s="25" t="n"/>
      <c r="D62" s="26">
        <f>IF(OR($C62="",NOT(ISNUMBER(DatumSvatby))),"",DatumSvatby-$C62)</f>
        <v/>
      </c>
      <c r="E62" s="27" t="n"/>
      <c r="F62" s="24" t="n"/>
      <c r="G62" s="24" t="n"/>
      <c r="H62">
        <f>IF(OR($E62="Hotovo",$D62=""),"",$D62+ROW()/100000)</f>
        <v/>
      </c>
    </row>
    <row r="63">
      <c r="A63" s="24" t="n"/>
      <c r="B63" s="24" t="n"/>
      <c r="C63" s="25" t="n"/>
      <c r="D63" s="26">
        <f>IF(OR($C63="",NOT(ISNUMBER(DatumSvatby))),"",DatumSvatby-$C63)</f>
        <v/>
      </c>
      <c r="E63" s="27" t="n"/>
      <c r="F63" s="24" t="n"/>
      <c r="G63" s="24" t="n"/>
      <c r="H63">
        <f>IF(OR($E63="Hotovo",$D63=""),"",$D63+ROW()/100000)</f>
        <v/>
      </c>
    </row>
    <row r="64">
      <c r="A64" s="24" t="n"/>
      <c r="B64" s="24" t="n"/>
      <c r="C64" s="25" t="n"/>
      <c r="D64" s="26">
        <f>IF(OR($C64="",NOT(ISNUMBER(DatumSvatby))),"",DatumSvatby-$C64)</f>
        <v/>
      </c>
      <c r="E64" s="27" t="n"/>
      <c r="F64" s="24" t="n"/>
      <c r="G64" s="24" t="n"/>
      <c r="H64">
        <f>IF(OR($E64="Hotovo",$D64=""),"",$D64+ROW()/100000)</f>
        <v/>
      </c>
    </row>
    <row r="65">
      <c r="A65" s="24" t="n"/>
      <c r="B65" s="24" t="n"/>
      <c r="C65" s="25" t="n"/>
      <c r="D65" s="26">
        <f>IF(OR($C65="",NOT(ISNUMBER(DatumSvatby))),"",DatumSvatby-$C65)</f>
        <v/>
      </c>
      <c r="E65" s="27" t="n"/>
      <c r="F65" s="24" t="n"/>
      <c r="G65" s="24" t="n"/>
      <c r="H65">
        <f>IF(OR($E65="Hotovo",$D65=""),"",$D65+ROW()/100000)</f>
        <v/>
      </c>
    </row>
    <row r="66">
      <c r="A66" s="24" t="n"/>
      <c r="B66" s="24" t="n"/>
      <c r="C66" s="25" t="n"/>
      <c r="D66" s="26">
        <f>IF(OR($C66="",NOT(ISNUMBER(DatumSvatby))),"",DatumSvatby-$C66)</f>
        <v/>
      </c>
      <c r="E66" s="27" t="n"/>
      <c r="F66" s="24" t="n"/>
      <c r="G66" s="24" t="n"/>
      <c r="H66">
        <f>IF(OR($E66="Hotovo",$D66=""),"",$D66+ROW()/100000)</f>
        <v/>
      </c>
    </row>
    <row r="67">
      <c r="A67" s="24" t="n"/>
      <c r="B67" s="24" t="n"/>
      <c r="C67" s="25" t="n"/>
      <c r="D67" s="26">
        <f>IF(OR($C67="",NOT(ISNUMBER(DatumSvatby))),"",DatumSvatby-$C67)</f>
        <v/>
      </c>
      <c r="E67" s="27" t="n"/>
      <c r="F67" s="24" t="n"/>
      <c r="G67" s="24" t="n"/>
      <c r="H67">
        <f>IF(OR($E67="Hotovo",$D67=""),"",$D67+ROW()/100000)</f>
        <v/>
      </c>
    </row>
    <row r="68">
      <c r="A68" s="24" t="n"/>
      <c r="B68" s="24" t="n"/>
      <c r="C68" s="25" t="n"/>
      <c r="D68" s="26">
        <f>IF(OR($C68="",NOT(ISNUMBER(DatumSvatby))),"",DatumSvatby-$C68)</f>
        <v/>
      </c>
      <c r="E68" s="27" t="n"/>
      <c r="F68" s="24" t="n"/>
      <c r="G68" s="24" t="n"/>
      <c r="H68">
        <f>IF(OR($E68="Hotovo",$D68=""),"",$D68+ROW()/100000)</f>
        <v/>
      </c>
    </row>
    <row r="69">
      <c r="A69" s="24" t="n"/>
      <c r="B69" s="24" t="n"/>
      <c r="C69" s="25" t="n"/>
      <c r="D69" s="26">
        <f>IF(OR($C69="",NOT(ISNUMBER(DatumSvatby))),"",DatumSvatby-$C69)</f>
        <v/>
      </c>
      <c r="E69" s="27" t="n"/>
      <c r="F69" s="24" t="n"/>
      <c r="G69" s="24" t="n"/>
      <c r="H69">
        <f>IF(OR($E69="Hotovo",$D69=""),"",$D69+ROW()/100000)</f>
        <v/>
      </c>
    </row>
    <row r="70">
      <c r="A70" s="24" t="n"/>
      <c r="B70" s="24" t="n"/>
      <c r="C70" s="25" t="n"/>
      <c r="D70" s="26">
        <f>IF(OR($C70="",NOT(ISNUMBER(DatumSvatby))),"",DatumSvatby-$C70)</f>
        <v/>
      </c>
      <c r="E70" s="27" t="n"/>
      <c r="F70" s="24" t="n"/>
      <c r="G70" s="24" t="n"/>
      <c r="H70">
        <f>IF(OR($E70="Hotovo",$D70=""),"",$D70+ROW()/100000)</f>
        <v/>
      </c>
    </row>
    <row r="71">
      <c r="A71" s="24" t="n"/>
      <c r="B71" s="24" t="n"/>
      <c r="C71" s="25" t="n"/>
      <c r="D71" s="26">
        <f>IF(OR($C71="",NOT(ISNUMBER(DatumSvatby))),"",DatumSvatby-$C71)</f>
        <v/>
      </c>
      <c r="E71" s="27" t="n"/>
      <c r="F71" s="24" t="n"/>
      <c r="G71" s="24" t="n"/>
      <c r="H71">
        <f>IF(OR($E71="Hotovo",$D71=""),"",$D71+ROW()/100000)</f>
        <v/>
      </c>
    </row>
    <row r="72">
      <c r="A72" s="24" t="n"/>
      <c r="B72" s="24" t="n"/>
      <c r="C72" s="25" t="n"/>
      <c r="D72" s="26">
        <f>IF(OR($C72="",NOT(ISNUMBER(DatumSvatby))),"",DatumSvatby-$C72)</f>
        <v/>
      </c>
      <c r="E72" s="27" t="n"/>
      <c r="F72" s="24" t="n"/>
      <c r="G72" s="24" t="n"/>
      <c r="H72">
        <f>IF(OR($E72="Hotovo",$D72=""),"",$D72+ROW()/100000)</f>
        <v/>
      </c>
    </row>
    <row r="73">
      <c r="A73" s="24" t="n"/>
      <c r="B73" s="24" t="n"/>
      <c r="C73" s="25" t="n"/>
      <c r="D73" s="26">
        <f>IF(OR($C73="",NOT(ISNUMBER(DatumSvatby))),"",DatumSvatby-$C73)</f>
        <v/>
      </c>
      <c r="E73" s="27" t="n"/>
      <c r="F73" s="24" t="n"/>
      <c r="G73" s="24" t="n"/>
      <c r="H73">
        <f>IF(OR($E73="Hotovo",$D73=""),"",$D73+ROW()/100000)</f>
        <v/>
      </c>
    </row>
    <row r="74">
      <c r="A74" s="24" t="n"/>
      <c r="B74" s="24" t="n"/>
      <c r="C74" s="25" t="n"/>
      <c r="D74" s="26">
        <f>IF(OR($C74="",NOT(ISNUMBER(DatumSvatby))),"",DatumSvatby-$C74)</f>
        <v/>
      </c>
      <c r="E74" s="27" t="n"/>
      <c r="F74" s="24" t="n"/>
      <c r="G74" s="24" t="n"/>
      <c r="H74">
        <f>IF(OR($E74="Hotovo",$D74=""),"",$D74+ROW()/100000)</f>
        <v/>
      </c>
    </row>
    <row r="75">
      <c r="A75" s="24" t="n"/>
      <c r="B75" s="24" t="n"/>
      <c r="C75" s="25" t="n"/>
      <c r="D75" s="26">
        <f>IF(OR($C75="",NOT(ISNUMBER(DatumSvatby))),"",DatumSvatby-$C75)</f>
        <v/>
      </c>
      <c r="E75" s="27" t="n"/>
      <c r="F75" s="24" t="n"/>
      <c r="G75" s="24" t="n"/>
      <c r="H75">
        <f>IF(OR($E75="Hotovo",$D75=""),"",$D75+ROW()/100000)</f>
        <v/>
      </c>
    </row>
    <row r="76">
      <c r="A76" s="24" t="n"/>
      <c r="B76" s="24" t="n"/>
      <c r="C76" s="25" t="n"/>
      <c r="D76" s="26">
        <f>IF(OR($C76="",NOT(ISNUMBER(DatumSvatby))),"",DatumSvatby-$C76)</f>
        <v/>
      </c>
      <c r="E76" s="27" t="n"/>
      <c r="F76" s="24" t="n"/>
      <c r="G76" s="24" t="n"/>
      <c r="H76">
        <f>IF(OR($E76="Hotovo",$D76=""),"",$D76+ROW()/100000)</f>
        <v/>
      </c>
    </row>
    <row r="77">
      <c r="A77" s="24" t="n"/>
      <c r="B77" s="24" t="n"/>
      <c r="C77" s="25" t="n"/>
      <c r="D77" s="26">
        <f>IF(OR($C77="",NOT(ISNUMBER(DatumSvatby))),"",DatumSvatby-$C77)</f>
        <v/>
      </c>
      <c r="E77" s="27" t="n"/>
      <c r="F77" s="24" t="n"/>
      <c r="G77" s="24" t="n"/>
      <c r="H77">
        <f>IF(OR($E77="Hotovo",$D77=""),"",$D77+ROW()/100000)</f>
        <v/>
      </c>
    </row>
    <row r="78">
      <c r="A78" s="24" t="n"/>
      <c r="B78" s="24" t="n"/>
      <c r="C78" s="25" t="n"/>
      <c r="D78" s="26">
        <f>IF(OR($C78="",NOT(ISNUMBER(DatumSvatby))),"",DatumSvatby-$C78)</f>
        <v/>
      </c>
      <c r="E78" s="27" t="n"/>
      <c r="F78" s="24" t="n"/>
      <c r="G78" s="24" t="n"/>
      <c r="H78">
        <f>IF(OR($E78="Hotovo",$D78=""),"",$D78+ROW()/100000)</f>
        <v/>
      </c>
    </row>
    <row r="79">
      <c r="A79" s="24" t="n"/>
      <c r="B79" s="24" t="n"/>
      <c r="C79" s="25" t="n"/>
      <c r="D79" s="26">
        <f>IF(OR($C79="",NOT(ISNUMBER(DatumSvatby))),"",DatumSvatby-$C79)</f>
        <v/>
      </c>
      <c r="E79" s="27" t="n"/>
      <c r="F79" s="24" t="n"/>
      <c r="G79" s="24" t="n"/>
      <c r="H79">
        <f>IF(OR($E79="Hotovo",$D79=""),"",$D79+ROW()/100000)</f>
        <v/>
      </c>
    </row>
    <row r="80">
      <c r="A80" s="24" t="n"/>
      <c r="B80" s="24" t="n"/>
      <c r="C80" s="25" t="n"/>
      <c r="D80" s="26">
        <f>IF(OR($C80="",NOT(ISNUMBER(DatumSvatby))),"",DatumSvatby-$C80)</f>
        <v/>
      </c>
      <c r="E80" s="27" t="n"/>
      <c r="F80" s="24" t="n"/>
      <c r="G80" s="24" t="n"/>
      <c r="H80">
        <f>IF(OR($E80="Hotovo",$D80=""),"",$D80+ROW()/100000)</f>
        <v/>
      </c>
    </row>
    <row r="81">
      <c r="A81" s="24" t="n"/>
      <c r="B81" s="24" t="n"/>
      <c r="C81" s="25" t="n"/>
      <c r="D81" s="26">
        <f>IF(OR($C81="",NOT(ISNUMBER(DatumSvatby))),"",DatumSvatby-$C81)</f>
        <v/>
      </c>
      <c r="E81" s="27" t="n"/>
      <c r="F81" s="24" t="n"/>
      <c r="G81" s="24" t="n"/>
      <c r="H81">
        <f>IF(OR($E81="Hotovo",$D81=""),"",$D81+ROW()/100000)</f>
        <v/>
      </c>
    </row>
    <row r="82">
      <c r="A82" s="24" t="n"/>
      <c r="B82" s="24" t="n"/>
      <c r="C82" s="25" t="n"/>
      <c r="D82" s="26">
        <f>IF(OR($C82="",NOT(ISNUMBER(DatumSvatby))),"",DatumSvatby-$C82)</f>
        <v/>
      </c>
      <c r="E82" s="27" t="n"/>
      <c r="F82" s="24" t="n"/>
      <c r="G82" s="24" t="n"/>
      <c r="H82">
        <f>IF(OR($E82="Hotovo",$D82=""),"",$D82+ROW()/100000)</f>
        <v/>
      </c>
    </row>
    <row r="83">
      <c r="A83" s="24" t="n"/>
      <c r="B83" s="24" t="n"/>
      <c r="C83" s="25" t="n"/>
      <c r="D83" s="26">
        <f>IF(OR($C83="",NOT(ISNUMBER(DatumSvatby))),"",DatumSvatby-$C83)</f>
        <v/>
      </c>
      <c r="E83" s="27" t="n"/>
      <c r="F83" s="24" t="n"/>
      <c r="G83" s="24" t="n"/>
      <c r="H83">
        <f>IF(OR($E83="Hotovo",$D83=""),"",$D83+ROW()/100000)</f>
        <v/>
      </c>
    </row>
    <row r="84">
      <c r="A84" s="24" t="n"/>
      <c r="B84" s="24" t="n"/>
      <c r="C84" s="25" t="n"/>
      <c r="D84" s="26">
        <f>IF(OR($C84="",NOT(ISNUMBER(DatumSvatby))),"",DatumSvatby-$C84)</f>
        <v/>
      </c>
      <c r="E84" s="27" t="n"/>
      <c r="F84" s="24" t="n"/>
      <c r="G84" s="24" t="n"/>
      <c r="H84">
        <f>IF(OR($E84="Hotovo",$D84=""),"",$D84+ROW()/100000)</f>
        <v/>
      </c>
    </row>
    <row r="85">
      <c r="A85" s="24" t="n"/>
      <c r="B85" s="24" t="n"/>
      <c r="C85" s="25" t="n"/>
      <c r="D85" s="26">
        <f>IF(OR($C85="",NOT(ISNUMBER(DatumSvatby))),"",DatumSvatby-$C85)</f>
        <v/>
      </c>
      <c r="E85" s="27" t="n"/>
      <c r="F85" s="24" t="n"/>
      <c r="G85" s="24" t="n"/>
      <c r="H85">
        <f>IF(OR($E85="Hotovo",$D85=""),"",$D85+ROW()/100000)</f>
        <v/>
      </c>
    </row>
    <row r="86">
      <c r="A86" s="24" t="n"/>
      <c r="B86" s="24" t="n"/>
      <c r="C86" s="25" t="n"/>
      <c r="D86" s="26">
        <f>IF(OR($C86="",NOT(ISNUMBER(DatumSvatby))),"",DatumSvatby-$C86)</f>
        <v/>
      </c>
      <c r="E86" s="27" t="n"/>
      <c r="F86" s="24" t="n"/>
      <c r="G86" s="24" t="n"/>
      <c r="H86">
        <f>IF(OR($E86="Hotovo",$D86=""),"",$D86+ROW()/100000)</f>
        <v/>
      </c>
    </row>
    <row r="87">
      <c r="A87" s="24" t="n"/>
      <c r="B87" s="24" t="n"/>
      <c r="C87" s="25" t="n"/>
      <c r="D87" s="26">
        <f>IF(OR($C87="",NOT(ISNUMBER(DatumSvatby))),"",DatumSvatby-$C87)</f>
        <v/>
      </c>
      <c r="E87" s="27" t="n"/>
      <c r="F87" s="24" t="n"/>
      <c r="G87" s="24" t="n"/>
      <c r="H87">
        <f>IF(OR($E87="Hotovo",$D87=""),"",$D87+ROW()/100000)</f>
        <v/>
      </c>
    </row>
    <row r="88">
      <c r="A88" s="24" t="n"/>
      <c r="B88" s="24" t="n"/>
      <c r="C88" s="25" t="n"/>
      <c r="D88" s="26">
        <f>IF(OR($C88="",NOT(ISNUMBER(DatumSvatby))),"",DatumSvatby-$C88)</f>
        <v/>
      </c>
      <c r="E88" s="27" t="n"/>
      <c r="F88" s="24" t="n"/>
      <c r="G88" s="24" t="n"/>
      <c r="H88">
        <f>IF(OR($E88="Hotovo",$D88=""),"",$D88+ROW()/100000)</f>
        <v/>
      </c>
    </row>
    <row r="89">
      <c r="A89" s="24" t="n"/>
      <c r="B89" s="24" t="n"/>
      <c r="C89" s="25" t="n"/>
      <c r="D89" s="26">
        <f>IF(OR($C89="",NOT(ISNUMBER(DatumSvatby))),"",DatumSvatby-$C89)</f>
        <v/>
      </c>
      <c r="E89" s="27" t="n"/>
      <c r="F89" s="24" t="n"/>
      <c r="G89" s="24" t="n"/>
      <c r="H89">
        <f>IF(OR($E89="Hotovo",$D89=""),"",$D89+ROW()/100000)</f>
        <v/>
      </c>
    </row>
  </sheetData>
  <conditionalFormatting sqref="A5:G89">
    <cfRule type="expression" priority="1" dxfId="2" stopIfTrue="0">
      <formula>$E5="Hotovo"</formula>
    </cfRule>
  </conditionalFormatting>
  <conditionalFormatting sqref="D5:D89">
    <cfRule type="expression" priority="2" dxfId="0" stopIfTrue="0">
      <formula>AND(ISNUMBER($D5),$D5&lt;TODAY(),$E5&lt;&gt;"Hotovo")</formula>
    </cfRule>
    <cfRule type="expression" priority="3" dxfId="3" stopIfTrue="0">
      <formula>AND(ISNUMBER($D5),$D5&gt;=TODAY(),$D5-TODAY()&lt;=30,$E5&lt;&gt;"Hotovo")</formula>
    </cfRule>
  </conditionalFormatting>
  <dataValidations count="2">
    <dataValidation sqref="E5:E89" showDropDown="0" showInputMessage="0" showErrorMessage="1" allowBlank="1" errorTitle="Neplatná hodnota" error="Vyberte hodnotu ze seznamu." type="list">
      <formula1>"Hotovo,Rozpracováno"</formula1>
    </dataValidation>
    <dataValidation sqref="F5:F89" showDropDown="0" showInputMessage="0" showErrorMessage="0" allowBlank="1" type="list">
      <formula1>"Nevěsta,Ženich,Oba,Svědci,Rodina"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Z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20" customWidth="1" min="9" max="9"/>
    <col width="28" customWidth="1" min="10" max="10"/>
    <col width="3" customWidth="1" min="11" max="11"/>
    <col width="20" customWidth="1" min="12" max="12"/>
    <col width="11" customWidth="1" min="13" max="13"/>
    <col width="13" customWidth="1" min="14" max="14"/>
    <col width="13" customWidth="1" min="15" max="15"/>
    <col width="13" customWidth="1" min="16" max="16"/>
    <col width="13" customWidth="1" min="17" max="17"/>
    <col hidden="1" width="13" customWidth="1" min="26" max="26"/>
  </cols>
  <sheetData>
    <row r="1" ht="34" customHeight="1">
      <c r="A1" s="1" t="inlineStr">
        <is>
          <t>Rozpočet</t>
        </is>
      </c>
    </row>
    <row r="2">
      <c r="A2" s="2" t="inlineStr">
        <is>
          <t>Napište plán. Jakmile znáte skutečnou cenu, doplňte ji a plánovač začne počítat s ní. Zálohy a platby zapisujte do sloupce Zaplaceno.</t>
        </is>
      </c>
    </row>
    <row r="4" ht="32" customHeight="1">
      <c r="A4" s="22" t="inlineStr">
        <is>
          <t>Kategorie</t>
        </is>
      </c>
      <c r="B4" s="22" t="inlineStr">
        <is>
          <t>Položka</t>
        </is>
      </c>
      <c r="C4" s="22" t="inlineStr">
        <is>
          <t>Plán</t>
        </is>
      </c>
      <c r="D4" s="22" t="inlineStr">
        <is>
          <t>Skutečná cena</t>
        </is>
      </c>
      <c r="E4" s="22" t="inlineStr">
        <is>
          <t>Zaplaceno</t>
        </is>
      </c>
      <c r="F4" s="22" t="inlineStr">
        <is>
          <t>Počítá se s</t>
        </is>
      </c>
      <c r="G4" s="22" t="inlineStr">
        <is>
          <t>Zbývá doplatit</t>
        </is>
      </c>
      <c r="H4" s="23" t="inlineStr">
        <is>
          <t>Splatnost</t>
        </is>
      </c>
      <c r="I4" s="22" t="inlineStr">
        <is>
          <t>Dodavatel</t>
        </is>
      </c>
      <c r="J4" s="22" t="inlineStr">
        <is>
          <t>Poznámka</t>
        </is>
      </c>
      <c r="L4" s="28" t="inlineStr">
        <is>
          <t>Kategorie</t>
        </is>
      </c>
      <c r="M4" s="28" t="inlineStr">
        <is>
          <t>Doporučený podíl</t>
        </is>
      </c>
      <c r="N4" s="28" t="inlineStr">
        <is>
          <t>Doporučeno</t>
        </is>
      </c>
      <c r="O4" s="28" t="inlineStr">
        <is>
          <t>Plán</t>
        </is>
      </c>
      <c r="P4" s="28" t="inlineStr">
        <is>
          <t>Počítá se s</t>
        </is>
      </c>
      <c r="Q4" s="28" t="inlineStr">
        <is>
          <t>Rozdíl</t>
        </is>
      </c>
    </row>
    <row r="5">
      <c r="A5" s="24" t="inlineStr">
        <is>
          <t>Místo a hostina</t>
        </is>
      </c>
      <c r="B5" s="24" t="inlineStr">
        <is>
          <t>Pronájem prostor</t>
        </is>
      </c>
      <c r="C5" s="29" t="n">
        <v>25000</v>
      </c>
      <c r="D5" s="29" t="n">
        <v>25000</v>
      </c>
      <c r="E5" s="29" t="n">
        <v>10000</v>
      </c>
      <c r="F5" s="30">
        <f>IF(AND($C5="",$D5=""),"",IF($D5&lt;&gt;"",$D5,N($C5)))</f>
        <v/>
      </c>
      <c r="G5" s="30">
        <f>IF($F5="","",MAX(0,$F5-N($E5)))</f>
        <v/>
      </c>
      <c r="H5" s="31" t="n">
        <v>46490</v>
      </c>
      <c r="I5" s="24" t="inlineStr">
        <is>
          <t>Statek Na Kopci</t>
        </is>
      </c>
      <c r="J5" s="24" t="n"/>
      <c r="L5" s="32" t="inlineStr">
        <is>
          <t>Místo a hostina</t>
        </is>
      </c>
      <c r="M5" s="33" t="n">
        <v>0.4</v>
      </c>
      <c r="N5" s="34">
        <f>$M5*N(Rozpocet)</f>
        <v/>
      </c>
      <c r="O5" s="34">
        <f>SUMIFS($C$5:$C$89,$A$5:$A$89,$L5)</f>
        <v/>
      </c>
      <c r="P5" s="34">
        <f>SUMIFS($F$5:$F$89,$A$5:$A$89,$L5)</f>
        <v/>
      </c>
      <c r="Q5" s="34">
        <f>N5-P5</f>
        <v/>
      </c>
      <c r="Z5">
        <f>IF(OR($H5="",N($G5)&lt;=0),"",$H5+ROW()/100000)</f>
        <v/>
      </c>
    </row>
    <row r="6">
      <c r="A6" s="24" t="inlineStr">
        <is>
          <t>Místo a hostina</t>
        </is>
      </c>
      <c r="B6" s="24" t="inlineStr">
        <is>
          <t>Svatební oběd</t>
        </is>
      </c>
      <c r="C6" s="29" t="n">
        <v>36000</v>
      </c>
      <c r="D6" s="29" t="n"/>
      <c r="E6" s="29" t="n"/>
      <c r="F6" s="30">
        <f>IF(AND($C6="",$D6=""),"",IF($D6&lt;&gt;"",$D6,N($C6)))</f>
        <v/>
      </c>
      <c r="G6" s="30">
        <f>IF($F6="","",MAX(0,$F6-N($E6)))</f>
        <v/>
      </c>
      <c r="H6" s="31" t="n">
        <v>46536</v>
      </c>
      <c r="I6" s="24" t="inlineStr">
        <is>
          <t>Statek Na Kopci</t>
        </is>
      </c>
      <c r="J6" s="24" t="n"/>
      <c r="L6" s="32" t="inlineStr">
        <is>
          <t>Foto a video</t>
        </is>
      </c>
      <c r="M6" s="33" t="n">
        <v>0.12</v>
      </c>
      <c r="N6" s="34">
        <f>$M6*N(Rozpocet)</f>
        <v/>
      </c>
      <c r="O6" s="34">
        <f>SUMIFS($C$5:$C$89,$A$5:$A$89,$L6)</f>
        <v/>
      </c>
      <c r="P6" s="34">
        <f>SUMIFS($F$5:$F$89,$A$5:$A$89,$L6)</f>
        <v/>
      </c>
      <c r="Q6" s="34">
        <f>N6-P6</f>
        <v/>
      </c>
      <c r="Z6">
        <f>IF(OR($H6="",N($G6)&lt;=0),"",$H6+ROW()/100000)</f>
        <v/>
      </c>
    </row>
    <row r="7">
      <c r="A7" s="24" t="inlineStr">
        <is>
          <t>Místo a hostina</t>
        </is>
      </c>
      <c r="B7" s="24" t="inlineStr">
        <is>
          <t>Večerní raut</t>
        </is>
      </c>
      <c r="C7" s="29" t="n">
        <v>18000</v>
      </c>
      <c r="D7" s="29" t="n"/>
      <c r="E7" s="29" t="n"/>
      <c r="F7" s="30">
        <f>IF(AND($C7="",$D7=""),"",IF($D7&lt;&gt;"",$D7,N($C7)))</f>
        <v/>
      </c>
      <c r="G7" s="30">
        <f>IF($F7="","",MAX(0,$F7-N($E7)))</f>
        <v/>
      </c>
      <c r="H7" s="31" t="n">
        <v>46536</v>
      </c>
      <c r="I7" s="24" t="inlineStr">
        <is>
          <t>Statek Na Kopci</t>
        </is>
      </c>
      <c r="J7" s="24" t="n"/>
      <c r="L7" s="32" t="inlineStr">
        <is>
          <t>Oblečení a doplňky</t>
        </is>
      </c>
      <c r="M7" s="33" t="n">
        <v>0.09</v>
      </c>
      <c r="N7" s="34">
        <f>$M7*N(Rozpocet)</f>
        <v/>
      </c>
      <c r="O7" s="34">
        <f>SUMIFS($C$5:$C$89,$A$5:$A$89,$L7)</f>
        <v/>
      </c>
      <c r="P7" s="34">
        <f>SUMIFS($F$5:$F$89,$A$5:$A$89,$L7)</f>
        <v/>
      </c>
      <c r="Q7" s="34">
        <f>N7-P7</f>
        <v/>
      </c>
      <c r="Z7">
        <f>IF(OR($H7="",N($G7)&lt;=0),"",$H7+ROW()/100000)</f>
        <v/>
      </c>
    </row>
    <row r="8">
      <c r="A8" s="24" t="inlineStr">
        <is>
          <t>Místo a hostina</t>
        </is>
      </c>
      <c r="B8" s="24" t="inlineStr">
        <is>
          <t>Nápoje</t>
        </is>
      </c>
      <c r="C8" s="29" t="n">
        <v>20000</v>
      </c>
      <c r="D8" s="29" t="n"/>
      <c r="E8" s="29" t="n"/>
      <c r="F8" s="30">
        <f>IF(AND($C8="",$D8=""),"",IF($D8&lt;&gt;"",$D8,N($C8)))</f>
        <v/>
      </c>
      <c r="G8" s="30">
        <f>IF($F8="","",MAX(0,$F8-N($E8)))</f>
        <v/>
      </c>
      <c r="H8" s="31" t="n">
        <v>46536</v>
      </c>
      <c r="I8" s="24" t="inlineStr">
        <is>
          <t>Statek Na Kopci</t>
        </is>
      </c>
      <c r="J8" s="24" t="n"/>
      <c r="L8" s="32" t="inlineStr">
        <is>
          <t>Prsteny</t>
        </is>
      </c>
      <c r="M8" s="33" t="n">
        <v>0.07000000000000001</v>
      </c>
      <c r="N8" s="34">
        <f>$M8*N(Rozpocet)</f>
        <v/>
      </c>
      <c r="O8" s="34">
        <f>SUMIFS($C$5:$C$89,$A$5:$A$89,$L8)</f>
        <v/>
      </c>
      <c r="P8" s="34">
        <f>SUMIFS($F$5:$F$89,$A$5:$A$89,$L8)</f>
        <v/>
      </c>
      <c r="Q8" s="34">
        <f>N8-P8</f>
        <v/>
      </c>
      <c r="Z8">
        <f>IF(OR($H8="",N($G8)&lt;=0),"",$H8+ROW()/100000)</f>
        <v/>
      </c>
    </row>
    <row r="9">
      <c r="A9" s="24" t="inlineStr">
        <is>
          <t>Foto a video</t>
        </is>
      </c>
      <c r="B9" s="24" t="inlineStr">
        <is>
          <t>Fotograf</t>
        </is>
      </c>
      <c r="C9" s="29" t="n">
        <v>30000</v>
      </c>
      <c r="D9" s="29" t="n">
        <v>32000</v>
      </c>
      <c r="E9" s="29" t="n">
        <v>10000</v>
      </c>
      <c r="F9" s="30">
        <f>IF(AND($C9="",$D9=""),"",IF($D9&lt;&gt;"",$D9,N($C9)))</f>
        <v/>
      </c>
      <c r="G9" s="30">
        <f>IF($F9="","",MAX(0,$F9-N($E9)))</f>
        <v/>
      </c>
      <c r="H9" s="31" t="n">
        <v>46520</v>
      </c>
      <c r="I9" s="24" t="inlineStr">
        <is>
          <t>Foto Jan Dvořák</t>
        </is>
      </c>
      <c r="J9" s="24" t="n"/>
      <c r="L9" s="32" t="inlineStr">
        <is>
          <t>Hudba a zábava</t>
        </is>
      </c>
      <c r="M9" s="33" t="n">
        <v>0.07000000000000001</v>
      </c>
      <c r="N9" s="34">
        <f>$M9*N(Rozpocet)</f>
        <v/>
      </c>
      <c r="O9" s="34">
        <f>SUMIFS($C$5:$C$89,$A$5:$A$89,$L9)</f>
        <v/>
      </c>
      <c r="P9" s="34">
        <f>SUMIFS($F$5:$F$89,$A$5:$A$89,$L9)</f>
        <v/>
      </c>
      <c r="Q9" s="34">
        <f>N9-P9</f>
        <v/>
      </c>
      <c r="Z9">
        <f>IF(OR($H9="",N($G9)&lt;=0),"",$H9+ROW()/100000)</f>
        <v/>
      </c>
    </row>
    <row r="10">
      <c r="A10" s="24" t="inlineStr">
        <is>
          <t>Foto a video</t>
        </is>
      </c>
      <c r="B10" s="24" t="inlineStr">
        <is>
          <t>Kameraman</t>
        </is>
      </c>
      <c r="C10" s="29" t="n">
        <v>25000</v>
      </c>
      <c r="D10" s="29" t="n"/>
      <c r="E10" s="29" t="n"/>
      <c r="F10" s="30">
        <f>IF(AND($C10="",$D10=""),"",IF($D10&lt;&gt;"",$D10,N($C10)))</f>
        <v/>
      </c>
      <c r="G10" s="30">
        <f>IF($F10="","",MAX(0,$F10-N($E10)))</f>
        <v/>
      </c>
      <c r="H10" s="31" t="n"/>
      <c r="I10" s="24" t="n"/>
      <c r="J10" s="24" t="n"/>
      <c r="L10" s="32" t="inlineStr">
        <is>
          <t>Květiny a výzdoba</t>
        </is>
      </c>
      <c r="M10" s="33" t="n">
        <v>0.07000000000000001</v>
      </c>
      <c r="N10" s="34">
        <f>$M10*N(Rozpocet)</f>
        <v/>
      </c>
      <c r="O10" s="34">
        <f>SUMIFS($C$5:$C$89,$A$5:$A$89,$L10)</f>
        <v/>
      </c>
      <c r="P10" s="34">
        <f>SUMIFS($F$5:$F$89,$A$5:$A$89,$L10)</f>
        <v/>
      </c>
      <c r="Q10" s="34">
        <f>N10-P10</f>
        <v/>
      </c>
      <c r="Z10">
        <f>IF(OR($H10="",N($G10)&lt;=0),"",$H10+ROW()/100000)</f>
        <v/>
      </c>
    </row>
    <row r="11">
      <c r="A11" s="24" t="inlineStr">
        <is>
          <t>Oblečení a doplňky</t>
        </is>
      </c>
      <c r="B11" s="24" t="inlineStr">
        <is>
          <t>Svatební šaty</t>
        </is>
      </c>
      <c r="C11" s="29" t="n">
        <v>18000</v>
      </c>
      <c r="D11" s="29" t="n">
        <v>21500</v>
      </c>
      <c r="E11" s="29" t="n">
        <v>21500</v>
      </c>
      <c r="F11" s="30">
        <f>IF(AND($C11="",$D11=""),"",IF($D11&lt;&gt;"",$D11,N($C11)))</f>
        <v/>
      </c>
      <c r="G11" s="30">
        <f>IF($F11="","",MAX(0,$F11-N($E11)))</f>
        <v/>
      </c>
      <c r="H11" s="31" t="n"/>
      <c r="I11" s="24" t="inlineStr">
        <is>
          <t>Salon Bílá</t>
        </is>
      </c>
      <c r="J11" s="24" t="n"/>
      <c r="L11" s="32" t="inlineStr">
        <is>
          <t>Dort a sladkosti</t>
        </is>
      </c>
      <c r="M11" s="33" t="n">
        <v>0.03</v>
      </c>
      <c r="N11" s="34">
        <f>$M11*N(Rozpocet)</f>
        <v/>
      </c>
      <c r="O11" s="34">
        <f>SUMIFS($C$5:$C$89,$A$5:$A$89,$L11)</f>
        <v/>
      </c>
      <c r="P11" s="34">
        <f>SUMIFS($F$5:$F$89,$A$5:$A$89,$L11)</f>
        <v/>
      </c>
      <c r="Q11" s="34">
        <f>N11-P11</f>
        <v/>
      </c>
      <c r="Z11">
        <f>IF(OR($H11="",N($G11)&lt;=0),"",$H11+ROW()/100000)</f>
        <v/>
      </c>
    </row>
    <row r="12">
      <c r="A12" s="24" t="inlineStr">
        <is>
          <t>Oblečení a doplňky</t>
        </is>
      </c>
      <c r="B12" s="24" t="inlineStr">
        <is>
          <t>Boty a doplňky nevěsty</t>
        </is>
      </c>
      <c r="C12" s="29" t="n">
        <v>3000</v>
      </c>
      <c r="D12" s="29" t="n"/>
      <c r="E12" s="29" t="n"/>
      <c r="F12" s="30">
        <f>IF(AND($C12="",$D12=""),"",IF($D12&lt;&gt;"",$D12,N($C12)))</f>
        <v/>
      </c>
      <c r="G12" s="30">
        <f>IF($F12="","",MAX(0,$F12-N($E12)))</f>
        <v/>
      </c>
      <c r="H12" s="31" t="n"/>
      <c r="I12" s="24" t="n"/>
      <c r="J12" s="24" t="n"/>
      <c r="L12" s="32" t="inlineStr">
        <is>
          <t>Vlasy a líčení</t>
        </is>
      </c>
      <c r="M12" s="33" t="n">
        <v>0.02</v>
      </c>
      <c r="N12" s="34">
        <f>$M12*N(Rozpocet)</f>
        <v/>
      </c>
      <c r="O12" s="34">
        <f>SUMIFS($C$5:$C$89,$A$5:$A$89,$L12)</f>
        <v/>
      </c>
      <c r="P12" s="34">
        <f>SUMIFS($F$5:$F$89,$A$5:$A$89,$L12)</f>
        <v/>
      </c>
      <c r="Q12" s="34">
        <f>N12-P12</f>
        <v/>
      </c>
      <c r="Z12">
        <f>IF(OR($H12="",N($G12)&lt;=0),"",$H12+ROW()/100000)</f>
        <v/>
      </c>
    </row>
    <row r="13">
      <c r="A13" s="24" t="inlineStr">
        <is>
          <t>Oblečení a doplňky</t>
        </is>
      </c>
      <c r="B13" s="24" t="inlineStr">
        <is>
          <t>Oblek ženicha</t>
        </is>
      </c>
      <c r="C13" s="29" t="n">
        <v>8000</v>
      </c>
      <c r="D13" s="29" t="n"/>
      <c r="E13" s="29" t="n"/>
      <c r="F13" s="30">
        <f>IF(AND($C13="",$D13=""),"",IF($D13&lt;&gt;"",$D13,N($C13)))</f>
        <v/>
      </c>
      <c r="G13" s="30">
        <f>IF($F13="","",MAX(0,$F13-N($E13)))</f>
        <v/>
      </c>
      <c r="H13" s="31" t="n"/>
      <c r="I13" s="24" t="n"/>
      <c r="J13" s="24" t="n"/>
      <c r="L13" s="32" t="inlineStr">
        <is>
          <t>Oznámení a tiskoviny</t>
        </is>
      </c>
      <c r="M13" s="33" t="n">
        <v>0.02</v>
      </c>
      <c r="N13" s="34">
        <f>$M13*N(Rozpocet)</f>
        <v/>
      </c>
      <c r="O13" s="34">
        <f>SUMIFS($C$5:$C$89,$A$5:$A$89,$L13)</f>
        <v/>
      </c>
      <c r="P13" s="34">
        <f>SUMIFS($F$5:$F$89,$A$5:$A$89,$L13)</f>
        <v/>
      </c>
      <c r="Q13" s="34">
        <f>N13-P13</f>
        <v/>
      </c>
      <c r="Z13">
        <f>IF(OR($H13="",N($G13)&lt;=0),"",$H13+ROW()/100000)</f>
        <v/>
      </c>
    </row>
    <row r="14">
      <c r="A14" s="24" t="inlineStr">
        <is>
          <t>Oblečení a doplňky</t>
        </is>
      </c>
      <c r="B14" s="24" t="inlineStr">
        <is>
          <t>Boty a doplňky ženicha</t>
        </is>
      </c>
      <c r="C14" s="29" t="n">
        <v>2500</v>
      </c>
      <c r="D14" s="29" t="n"/>
      <c r="E14" s="29" t="n"/>
      <c r="F14" s="30">
        <f>IF(AND($C14="",$D14=""),"",IF($D14&lt;&gt;"",$D14,N($C14)))</f>
        <v/>
      </c>
      <c r="G14" s="30">
        <f>IF($F14="","",MAX(0,$F14-N($E14)))</f>
        <v/>
      </c>
      <c r="H14" s="31" t="n"/>
      <c r="I14" s="24" t="n"/>
      <c r="J14" s="24" t="n"/>
      <c r="L14" s="32" t="inlineStr">
        <is>
          <t>Doprava</t>
        </is>
      </c>
      <c r="M14" s="33" t="n">
        <v>0.02</v>
      </c>
      <c r="N14" s="34">
        <f>$M14*N(Rozpocet)</f>
        <v/>
      </c>
      <c r="O14" s="34">
        <f>SUMIFS($C$5:$C$89,$A$5:$A$89,$L14)</f>
        <v/>
      </c>
      <c r="P14" s="34">
        <f>SUMIFS($F$5:$F$89,$A$5:$A$89,$L14)</f>
        <v/>
      </c>
      <c r="Q14" s="34">
        <f>N14-P14</f>
        <v/>
      </c>
      <c r="Z14">
        <f>IF(OR($H14="",N($G14)&lt;=0),"",$H14+ROW()/100000)</f>
        <v/>
      </c>
    </row>
    <row r="15">
      <c r="A15" s="24" t="inlineStr">
        <is>
          <t>Prsteny</t>
        </is>
      </c>
      <c r="B15" s="24" t="inlineStr">
        <is>
          <t>Snubní prsteny</t>
        </is>
      </c>
      <c r="C15" s="29" t="n">
        <v>18000</v>
      </c>
      <c r="D15" s="29" t="n"/>
      <c r="E15" s="29" t="n"/>
      <c r="F15" s="30">
        <f>IF(AND($C15="",$D15=""),"",IF($D15&lt;&gt;"",$D15,N($C15)))</f>
        <v/>
      </c>
      <c r="G15" s="30">
        <f>IF($F15="","",MAX(0,$F15-N($E15)))</f>
        <v/>
      </c>
      <c r="H15" s="31" t="n">
        <v>46505</v>
      </c>
      <c r="I15" s="24" t="n"/>
      <c r="J15" s="24" t="n"/>
      <c r="L15" s="32" t="inlineStr">
        <is>
          <t>Obřad a poplatky</t>
        </is>
      </c>
      <c r="M15" s="33" t="n">
        <v>0.02</v>
      </c>
      <c r="N15" s="34">
        <f>$M15*N(Rozpocet)</f>
        <v/>
      </c>
      <c r="O15" s="34">
        <f>SUMIFS($C$5:$C$89,$A$5:$A$89,$L15)</f>
        <v/>
      </c>
      <c r="P15" s="34">
        <f>SUMIFS($F$5:$F$89,$A$5:$A$89,$L15)</f>
        <v/>
      </c>
      <c r="Q15" s="34">
        <f>N15-P15</f>
        <v/>
      </c>
      <c r="Z15">
        <f>IF(OR($H15="",N($G15)&lt;=0),"",$H15+ROW()/100000)</f>
        <v/>
      </c>
    </row>
    <row r="16">
      <c r="A16" s="24" t="inlineStr">
        <is>
          <t>Hudba a zábava</t>
        </is>
      </c>
      <c r="B16" s="24" t="inlineStr">
        <is>
          <t>Kapela / DJ</t>
        </is>
      </c>
      <c r="C16" s="29" t="n">
        <v>15000</v>
      </c>
      <c r="D16" s="29" t="n">
        <v>14000</v>
      </c>
      <c r="E16" s="29" t="n">
        <v>5000</v>
      </c>
      <c r="F16" s="30">
        <f>IF(AND($C16="",$D16=""),"",IF($D16&lt;&gt;"",$D16,N($C16)))</f>
        <v/>
      </c>
      <c r="G16" s="30">
        <f>IF($F16="","",MAX(0,$F16-N($E16)))</f>
        <v/>
      </c>
      <c r="H16" s="31" t="n">
        <v>46543</v>
      </c>
      <c r="I16" s="24" t="inlineStr">
        <is>
          <t>DJ Martin</t>
        </is>
      </c>
      <c r="J16" s="24" t="n"/>
      <c r="L16" s="32" t="inlineStr">
        <is>
          <t>Dárky</t>
        </is>
      </c>
      <c r="M16" s="33" t="n">
        <v>0.02</v>
      </c>
      <c r="N16" s="34">
        <f>$M16*N(Rozpocet)</f>
        <v/>
      </c>
      <c r="O16" s="34">
        <f>SUMIFS($C$5:$C$89,$A$5:$A$89,$L16)</f>
        <v/>
      </c>
      <c r="P16" s="34">
        <f>SUMIFS($F$5:$F$89,$A$5:$A$89,$L16)</f>
        <v/>
      </c>
      <c r="Q16" s="34">
        <f>N16-P16</f>
        <v/>
      </c>
      <c r="Z16">
        <f>IF(OR($H16="",N($G16)&lt;=0),"",$H16+ROW()/100000)</f>
        <v/>
      </c>
    </row>
    <row r="17">
      <c r="A17" s="24" t="inlineStr">
        <is>
          <t>Hudba a zábava</t>
        </is>
      </c>
      <c r="B17" s="24" t="inlineStr">
        <is>
          <t>Hudba na obřad</t>
        </is>
      </c>
      <c r="C17" s="29" t="n">
        <v>3000</v>
      </c>
      <c r="D17" s="29" t="n"/>
      <c r="E17" s="29" t="n"/>
      <c r="F17" s="30">
        <f>IF(AND($C17="",$D17=""),"",IF($D17&lt;&gt;"",$D17,N($C17)))</f>
        <v/>
      </c>
      <c r="G17" s="30">
        <f>IF($F17="","",MAX(0,$F17-N($E17)))</f>
        <v/>
      </c>
      <c r="H17" s="31" t="n"/>
      <c r="I17" s="24" t="n"/>
      <c r="J17" s="24" t="n"/>
      <c r="L17" s="32" t="inlineStr">
        <is>
          <t>Rezerva</t>
        </is>
      </c>
      <c r="M17" s="33" t="n">
        <v>0.05</v>
      </c>
      <c r="N17" s="34">
        <f>$M17*N(Rozpocet)</f>
        <v/>
      </c>
      <c r="O17" s="34">
        <f>SUMIFS($C$5:$C$89,$A$5:$A$89,$L17)</f>
        <v/>
      </c>
      <c r="P17" s="34">
        <f>SUMIFS($F$5:$F$89,$A$5:$A$89,$L17)</f>
        <v/>
      </c>
      <c r="Q17" s="34">
        <f>N17-P17</f>
        <v/>
      </c>
      <c r="Z17">
        <f>IF(OR($H17="",N($G17)&lt;=0),"",$H17+ROW()/100000)</f>
        <v/>
      </c>
    </row>
    <row r="18">
      <c r="A18" s="24" t="inlineStr">
        <is>
          <t>Květiny a výzdoba</t>
        </is>
      </c>
      <c r="B18" s="24" t="inlineStr">
        <is>
          <t>Kytice nevěsty</t>
        </is>
      </c>
      <c r="C18" s="29" t="n">
        <v>2500</v>
      </c>
      <c r="D18" s="29" t="n"/>
      <c r="E18" s="29" t="n"/>
      <c r="F18" s="30">
        <f>IF(AND($C18="",$D18=""),"",IF($D18&lt;&gt;"",$D18,N($C18)))</f>
        <v/>
      </c>
      <c r="G18" s="30">
        <f>IF($F18="","",MAX(0,$F18-N($E18)))</f>
        <v/>
      </c>
      <c r="H18" s="31" t="n"/>
      <c r="I18" s="24" t="n"/>
      <c r="J18" s="24" t="n"/>
      <c r="L18" s="32" t="inlineStr">
        <is>
          <t>Svatební cesta</t>
        </is>
      </c>
      <c r="M18" s="33" t="n">
        <v>0</v>
      </c>
      <c r="N18" s="34">
        <f>$M18*N(Rozpocet)</f>
        <v/>
      </c>
      <c r="O18" s="34">
        <f>SUMIFS($C$5:$C$89,$A$5:$A$89,$L18)</f>
        <v/>
      </c>
      <c r="P18" s="34">
        <f>SUMIFS($F$5:$F$89,$A$5:$A$89,$L18)</f>
        <v/>
      </c>
      <c r="Q18" s="34">
        <f>N18-P18</f>
        <v/>
      </c>
      <c r="Z18">
        <f>IF(OR($H18="",N($G18)&lt;=0),"",$H18+ROW()/100000)</f>
        <v/>
      </c>
    </row>
    <row r="19">
      <c r="A19" s="24" t="inlineStr">
        <is>
          <t>Květiny a výzdoba</t>
        </is>
      </c>
      <c r="B19" s="24" t="inlineStr">
        <is>
          <t>Korsáže a kytičky pro svědky</t>
        </is>
      </c>
      <c r="C19" s="29" t="n">
        <v>1200</v>
      </c>
      <c r="D19" s="29" t="n"/>
      <c r="E19" s="29" t="n"/>
      <c r="F19" s="30">
        <f>IF(AND($C19="",$D19=""),"",IF($D19&lt;&gt;"",$D19,N($C19)))</f>
        <v/>
      </c>
      <c r="G19" s="30">
        <f>IF($F19="","",MAX(0,$F19-N($E19)))</f>
        <v/>
      </c>
      <c r="H19" s="31" t="n"/>
      <c r="I19" s="24" t="n"/>
      <c r="J19" s="24" t="n"/>
      <c r="L19" s="35" t="inlineStr">
        <is>
          <t>Celkem</t>
        </is>
      </c>
      <c r="M19" s="36">
        <f>SUM(M5:M18)</f>
        <v/>
      </c>
      <c r="N19" s="35">
        <f>SUM(N5:N18)</f>
        <v/>
      </c>
      <c r="O19" s="35">
        <f>SUM(O5:O18)</f>
        <v/>
      </c>
      <c r="P19" s="35">
        <f>SUM(P5:P18)</f>
        <v/>
      </c>
      <c r="Q19" s="35">
        <f>SUM(Q5:Q18)</f>
        <v/>
      </c>
      <c r="Z19">
        <f>IF(OR($H19="",N($G19)&lt;=0),"",$H19+ROW()/100000)</f>
        <v/>
      </c>
    </row>
    <row r="20">
      <c r="A20" s="24" t="inlineStr">
        <is>
          <t>Květiny a výzdoba</t>
        </is>
      </c>
      <c r="B20" s="24" t="inlineStr">
        <is>
          <t>Výzdoba obřadu</t>
        </is>
      </c>
      <c r="C20" s="29" t="n">
        <v>6000</v>
      </c>
      <c r="D20" s="29" t="n"/>
      <c r="E20" s="29" t="n"/>
      <c r="F20" s="30">
        <f>IF(AND($C20="",$D20=""),"",IF($D20&lt;&gt;"",$D20,N($C20)))</f>
        <v/>
      </c>
      <c r="G20" s="30">
        <f>IF($F20="","",MAX(0,$F20-N($E20)))</f>
        <v/>
      </c>
      <c r="H20" s="31" t="n"/>
      <c r="I20" s="24" t="n"/>
      <c r="J20" s="24" t="n"/>
      <c r="Z20">
        <f>IF(OR($H20="",N($G20)&lt;=0),"",$H20+ROW()/100000)</f>
        <v/>
      </c>
    </row>
    <row r="21">
      <c r="A21" s="24" t="inlineStr">
        <is>
          <t>Květiny a výzdoba</t>
        </is>
      </c>
      <c r="B21" s="24" t="inlineStr">
        <is>
          <t>Výzdoba stolů</t>
        </is>
      </c>
      <c r="C21" s="29" t="n">
        <v>7000</v>
      </c>
      <c r="D21" s="29" t="n"/>
      <c r="E21" s="29" t="n"/>
      <c r="F21" s="30">
        <f>IF(AND($C21="",$D21=""),"",IF($D21&lt;&gt;"",$D21,N($C21)))</f>
        <v/>
      </c>
      <c r="G21" s="30">
        <f>IF($F21="","",MAX(0,$F21-N($E21)))</f>
        <v/>
      </c>
      <c r="H21" s="31" t="n"/>
      <c r="I21" s="24" t="n"/>
      <c r="J21" s="24" t="n"/>
      <c r="L21" s="37" t="inlineStr">
        <is>
          <t>Doporučený podíl je orientační rozdělení podle běžné praxe českých svateb. Klidně ho přepište podle sebe. Rozdíl = doporučeno − počítá se s.</t>
        </is>
      </c>
      <c r="Z21">
        <f>IF(OR($H21="",N($G21)&lt;=0),"",$H21+ROW()/100000)</f>
        <v/>
      </c>
    </row>
    <row r="22">
      <c r="A22" s="24" t="inlineStr">
        <is>
          <t>Dort a sladkosti</t>
        </is>
      </c>
      <c r="B22" s="24" t="inlineStr">
        <is>
          <t>Svatební dort</t>
        </is>
      </c>
      <c r="C22" s="29" t="n">
        <v>5000</v>
      </c>
      <c r="D22" s="29" t="n"/>
      <c r="E22" s="29" t="n"/>
      <c r="F22" s="30">
        <f>IF(AND($C22="",$D22=""),"",IF($D22&lt;&gt;"",$D22,N($C22)))</f>
        <v/>
      </c>
      <c r="G22" s="30">
        <f>IF($F22="","",MAX(0,$F22-N($E22)))</f>
        <v/>
      </c>
      <c r="H22" s="31" t="n">
        <v>46543</v>
      </c>
      <c r="I22" s="24" t="n"/>
      <c r="J22" s="24" t="n"/>
      <c r="Z22">
        <f>IF(OR($H22="",N($G22)&lt;=0),"",$H22+ROW()/100000)</f>
        <v/>
      </c>
    </row>
    <row r="23">
      <c r="A23" s="24" t="inlineStr">
        <is>
          <t>Dort a sladkosti</t>
        </is>
      </c>
      <c r="B23" s="24" t="inlineStr">
        <is>
          <t>Svatební koláčky</t>
        </is>
      </c>
      <c r="C23" s="29" t="n">
        <v>3000</v>
      </c>
      <c r="D23" s="29" t="n"/>
      <c r="E23" s="29" t="n"/>
      <c r="F23" s="30">
        <f>IF(AND($C23="",$D23=""),"",IF($D23&lt;&gt;"",$D23,N($C23)))</f>
        <v/>
      </c>
      <c r="G23" s="30">
        <f>IF($F23="","",MAX(0,$F23-N($E23)))</f>
        <v/>
      </c>
      <c r="H23" s="31" t="n"/>
      <c r="I23" s="24" t="n"/>
      <c r="J23" s="24" t="n"/>
      <c r="Z23">
        <f>IF(OR($H23="",N($G23)&lt;=0),"",$H23+ROW()/100000)</f>
        <v/>
      </c>
    </row>
    <row r="24">
      <c r="A24" s="24" t="inlineStr">
        <is>
          <t>Vlasy a líčení</t>
        </is>
      </c>
      <c r="B24" s="24" t="inlineStr">
        <is>
          <t>Kadeřnice a vizážistka</t>
        </is>
      </c>
      <c r="C24" s="29" t="n">
        <v>5000</v>
      </c>
      <c r="D24" s="29" t="n"/>
      <c r="E24" s="29" t="n"/>
      <c r="F24" s="30">
        <f>IF(AND($C24="",$D24=""),"",IF($D24&lt;&gt;"",$D24,N($C24)))</f>
        <v/>
      </c>
      <c r="G24" s="30">
        <f>IF($F24="","",MAX(0,$F24-N($E24)))</f>
        <v/>
      </c>
      <c r="H24" s="31" t="n"/>
      <c r="I24" s="24" t="n"/>
      <c r="J24" s="24" t="n"/>
      <c r="Z24">
        <f>IF(OR($H24="",N($G24)&lt;=0),"",$H24+ROW()/100000)</f>
        <v/>
      </c>
    </row>
    <row r="25">
      <c r="A25" s="24" t="inlineStr">
        <is>
          <t>Oznámení a tiskoviny</t>
        </is>
      </c>
      <c r="B25" s="24" t="inlineStr">
        <is>
          <t>Oznámení a pozvánky</t>
        </is>
      </c>
      <c r="C25" s="29" t="n">
        <v>3500</v>
      </c>
      <c r="D25" s="29" t="n">
        <v>3200</v>
      </c>
      <c r="E25" s="29" t="n">
        <v>3200</v>
      </c>
      <c r="F25" s="30">
        <f>IF(AND($C25="",$D25=""),"",IF($D25&lt;&gt;"",$D25,N($C25)))</f>
        <v/>
      </c>
      <c r="G25" s="30">
        <f>IF($F25="","",MAX(0,$F25-N($E25)))</f>
        <v/>
      </c>
      <c r="H25" s="31" t="n"/>
      <c r="I25" s="24" t="inlineStr">
        <is>
          <t>Tiskárna Papírek</t>
        </is>
      </c>
      <c r="J25" s="24" t="n"/>
      <c r="Z25">
        <f>IF(OR($H25="",N($G25)&lt;=0),"",$H25+ROW()/100000)</f>
        <v/>
      </c>
    </row>
    <row r="26">
      <c r="A26" s="24" t="inlineStr">
        <is>
          <t>Oznámení a tiskoviny</t>
        </is>
      </c>
      <c r="B26" s="24" t="inlineStr">
        <is>
          <t>Jmenovky, menu, tabule</t>
        </is>
      </c>
      <c r="C26" s="29" t="n">
        <v>1500</v>
      </c>
      <c r="D26" s="29" t="n"/>
      <c r="E26" s="29" t="n"/>
      <c r="F26" s="30">
        <f>IF(AND($C26="",$D26=""),"",IF($D26&lt;&gt;"",$D26,N($C26)))</f>
        <v/>
      </c>
      <c r="G26" s="30">
        <f>IF($F26="","",MAX(0,$F26-N($E26)))</f>
        <v/>
      </c>
      <c r="H26" s="31" t="n"/>
      <c r="I26" s="24" t="n"/>
      <c r="J26" s="24" t="n"/>
      <c r="Z26">
        <f>IF(OR($H26="",N($G26)&lt;=0),"",$H26+ROW()/100000)</f>
        <v/>
      </c>
    </row>
    <row r="27">
      <c r="A27" s="24" t="inlineStr">
        <is>
          <t>Doprava</t>
        </is>
      </c>
      <c r="B27" s="24" t="inlineStr">
        <is>
          <t>Svatební auto</t>
        </is>
      </c>
      <c r="C27" s="29" t="n">
        <v>3000</v>
      </c>
      <c r="D27" s="29" t="n"/>
      <c r="E27" s="29" t="n"/>
      <c r="F27" s="30">
        <f>IF(AND($C27="",$D27=""),"",IF($D27&lt;&gt;"",$D27,N($C27)))</f>
        <v/>
      </c>
      <c r="G27" s="30">
        <f>IF($F27="","",MAX(0,$F27-N($E27)))</f>
        <v/>
      </c>
      <c r="H27" s="31" t="n"/>
      <c r="I27" s="24" t="n"/>
      <c r="J27" s="24" t="n"/>
      <c r="Z27">
        <f>IF(OR($H27="",N($G27)&lt;=0),"",$H27+ROW()/100000)</f>
        <v/>
      </c>
    </row>
    <row r="28">
      <c r="A28" s="24" t="inlineStr">
        <is>
          <t>Doprava</t>
        </is>
      </c>
      <c r="B28" s="24" t="inlineStr">
        <is>
          <t>Doprava hostů</t>
        </is>
      </c>
      <c r="C28" s="29" t="n">
        <v>4000</v>
      </c>
      <c r="D28" s="29" t="n"/>
      <c r="E28" s="29" t="n"/>
      <c r="F28" s="30">
        <f>IF(AND($C28="",$D28=""),"",IF($D28&lt;&gt;"",$D28,N($C28)))</f>
        <v/>
      </c>
      <c r="G28" s="30">
        <f>IF($F28="","",MAX(0,$F28-N($E28)))</f>
        <v/>
      </c>
      <c r="H28" s="31" t="n"/>
      <c r="I28" s="24" t="n"/>
      <c r="J28" s="24" t="n"/>
      <c r="Z28">
        <f>IF(OR($H28="",N($G28)&lt;=0),"",$H28+ROW()/100000)</f>
        <v/>
      </c>
    </row>
    <row r="29">
      <c r="A29" s="24" t="inlineStr">
        <is>
          <t>Obřad a poplatky</t>
        </is>
      </c>
      <c r="B29" s="24" t="inlineStr">
        <is>
          <t>Poplatky matrice a oddávajícímu</t>
        </is>
      </c>
      <c r="C29" s="29" t="n">
        <v>3000</v>
      </c>
      <c r="D29" s="29" t="n"/>
      <c r="E29" s="29" t="n"/>
      <c r="F29" s="30">
        <f>IF(AND($C29="",$D29=""),"",IF($D29&lt;&gt;"",$D29,N($C29)))</f>
        <v/>
      </c>
      <c r="G29" s="30">
        <f>IF($F29="","",MAX(0,$F29-N($E29)))</f>
        <v/>
      </c>
      <c r="H29" s="31" t="n"/>
      <c r="I29" s="24" t="n"/>
      <c r="J29" s="24" t="n"/>
      <c r="Z29">
        <f>IF(OR($H29="",N($G29)&lt;=0),"",$H29+ROW()/100000)</f>
        <v/>
      </c>
    </row>
    <row r="30">
      <c r="A30" s="24" t="inlineStr">
        <is>
          <t>Dárky</t>
        </is>
      </c>
      <c r="B30" s="24" t="inlineStr">
        <is>
          <t>Výslužka pro hosty</t>
        </is>
      </c>
      <c r="C30" s="29" t="n">
        <v>3000</v>
      </c>
      <c r="D30" s="29" t="n"/>
      <c r="E30" s="29" t="n"/>
      <c r="F30" s="30">
        <f>IF(AND($C30="",$D30=""),"",IF($D30&lt;&gt;"",$D30,N($C30)))</f>
        <v/>
      </c>
      <c r="G30" s="30">
        <f>IF($F30="","",MAX(0,$F30-N($E30)))</f>
        <v/>
      </c>
      <c r="H30" s="31" t="n"/>
      <c r="I30" s="24" t="n"/>
      <c r="J30" s="24" t="n"/>
      <c r="Z30">
        <f>IF(OR($H30="",N($G30)&lt;=0),"",$H30+ROW()/100000)</f>
        <v/>
      </c>
    </row>
    <row r="31">
      <c r="A31" s="24" t="inlineStr">
        <is>
          <t>Dárky</t>
        </is>
      </c>
      <c r="B31" s="24" t="inlineStr">
        <is>
          <t>Dárky pro rodiče a svědky</t>
        </is>
      </c>
      <c r="C31" s="29" t="n">
        <v>3000</v>
      </c>
      <c r="D31" s="29" t="n"/>
      <c r="E31" s="29" t="n"/>
      <c r="F31" s="30">
        <f>IF(AND($C31="",$D31=""),"",IF($D31&lt;&gt;"",$D31,N($C31)))</f>
        <v/>
      </c>
      <c r="G31" s="30">
        <f>IF($F31="","",MAX(0,$F31-N($E31)))</f>
        <v/>
      </c>
      <c r="H31" s="31" t="n"/>
      <c r="I31" s="24" t="n"/>
      <c r="J31" s="24" t="n"/>
      <c r="Z31">
        <f>IF(OR($H31="",N($G31)&lt;=0),"",$H31+ROW()/100000)</f>
        <v/>
      </c>
    </row>
    <row r="32">
      <c r="A32" s="24" t="inlineStr">
        <is>
          <t>Rezerva</t>
        </is>
      </c>
      <c r="B32" s="24" t="inlineStr">
        <is>
          <t>Nečekané výdaje</t>
        </is>
      </c>
      <c r="C32" s="29" t="n">
        <v>12500</v>
      </c>
      <c r="D32" s="29" t="n"/>
      <c r="E32" s="29" t="n"/>
      <c r="F32" s="30">
        <f>IF(AND($C32="",$D32=""),"",IF($D32&lt;&gt;"",$D32,N($C32)))</f>
        <v/>
      </c>
      <c r="G32" s="30">
        <f>IF($F32="","",MAX(0,$F32-N($E32)))</f>
        <v/>
      </c>
      <c r="H32" s="31" t="n"/>
      <c r="I32" s="24" t="n"/>
      <c r="J32" s="24" t="n"/>
      <c r="Z32">
        <f>IF(OR($H32="",N($G32)&lt;=0),"",$H32+ROW()/100000)</f>
        <v/>
      </c>
    </row>
    <row r="33">
      <c r="A33" s="24" t="inlineStr">
        <is>
          <t>Svatební cesta</t>
        </is>
      </c>
      <c r="B33" s="24" t="inlineStr">
        <is>
          <t>Letenky a ubytování</t>
        </is>
      </c>
      <c r="C33" s="29" t="n"/>
      <c r="D33" s="29" t="n"/>
      <c r="E33" s="29" t="n"/>
      <c r="F33" s="30">
        <f>IF(AND($C33="",$D33=""),"",IF($D33&lt;&gt;"",$D33,N($C33)))</f>
        <v/>
      </c>
      <c r="G33" s="30">
        <f>IF($F33="","",MAX(0,$F33-N($E33)))</f>
        <v/>
      </c>
      <c r="H33" s="31" t="n"/>
      <c r="I33" s="24" t="n"/>
      <c r="J33" s="24" t="n"/>
      <c r="Z33">
        <f>IF(OR($H33="",N($G33)&lt;=0),"",$H33+ROW()/100000)</f>
        <v/>
      </c>
    </row>
    <row r="34">
      <c r="A34" s="24" t="n"/>
      <c r="B34" s="24" t="n"/>
      <c r="C34" s="29" t="n"/>
      <c r="D34" s="29" t="n"/>
      <c r="E34" s="29" t="n"/>
      <c r="F34" s="30">
        <f>IF(AND($C34="",$D34=""),"",IF($D34&lt;&gt;"",$D34,N($C34)))</f>
        <v/>
      </c>
      <c r="G34" s="30">
        <f>IF($F34="","",MAX(0,$F34-N($E34)))</f>
        <v/>
      </c>
      <c r="H34" s="31" t="n"/>
      <c r="I34" s="24" t="n"/>
      <c r="J34" s="24" t="n"/>
      <c r="Z34">
        <f>IF(OR($H34="",N($G34)&lt;=0),"",$H34+ROW()/100000)</f>
        <v/>
      </c>
    </row>
    <row r="35">
      <c r="A35" s="24" t="n"/>
      <c r="B35" s="24" t="n"/>
      <c r="C35" s="29" t="n"/>
      <c r="D35" s="29" t="n"/>
      <c r="E35" s="29" t="n"/>
      <c r="F35" s="30">
        <f>IF(AND($C35="",$D35=""),"",IF($D35&lt;&gt;"",$D35,N($C35)))</f>
        <v/>
      </c>
      <c r="G35" s="30">
        <f>IF($F35="","",MAX(0,$F35-N($E35)))</f>
        <v/>
      </c>
      <c r="H35" s="31" t="n"/>
      <c r="I35" s="24" t="n"/>
      <c r="J35" s="24" t="n"/>
      <c r="Z35">
        <f>IF(OR($H35="",N($G35)&lt;=0),"",$H35+ROW()/100000)</f>
        <v/>
      </c>
    </row>
    <row r="36">
      <c r="A36" s="24" t="n"/>
      <c r="B36" s="24" t="n"/>
      <c r="C36" s="29" t="n"/>
      <c r="D36" s="29" t="n"/>
      <c r="E36" s="29" t="n"/>
      <c r="F36" s="30">
        <f>IF(AND($C36="",$D36=""),"",IF($D36&lt;&gt;"",$D36,N($C36)))</f>
        <v/>
      </c>
      <c r="G36" s="30">
        <f>IF($F36="","",MAX(0,$F36-N($E36)))</f>
        <v/>
      </c>
      <c r="H36" s="31" t="n"/>
      <c r="I36" s="24" t="n"/>
      <c r="J36" s="24" t="n"/>
      <c r="Z36">
        <f>IF(OR($H36="",N($G36)&lt;=0),"",$H36+ROW()/100000)</f>
        <v/>
      </c>
    </row>
    <row r="37">
      <c r="A37" s="24" t="n"/>
      <c r="B37" s="24" t="n"/>
      <c r="C37" s="29" t="n"/>
      <c r="D37" s="29" t="n"/>
      <c r="E37" s="29" t="n"/>
      <c r="F37" s="30">
        <f>IF(AND($C37="",$D37=""),"",IF($D37&lt;&gt;"",$D37,N($C37)))</f>
        <v/>
      </c>
      <c r="G37" s="30">
        <f>IF($F37="","",MAX(0,$F37-N($E37)))</f>
        <v/>
      </c>
      <c r="H37" s="31" t="n"/>
      <c r="I37" s="24" t="n"/>
      <c r="J37" s="24" t="n"/>
      <c r="Z37">
        <f>IF(OR($H37="",N($G37)&lt;=0),"",$H37+ROW()/100000)</f>
        <v/>
      </c>
    </row>
    <row r="38">
      <c r="A38" s="24" t="n"/>
      <c r="B38" s="24" t="n"/>
      <c r="C38" s="29" t="n"/>
      <c r="D38" s="29" t="n"/>
      <c r="E38" s="29" t="n"/>
      <c r="F38" s="30">
        <f>IF(AND($C38="",$D38=""),"",IF($D38&lt;&gt;"",$D38,N($C38)))</f>
        <v/>
      </c>
      <c r="G38" s="30">
        <f>IF($F38="","",MAX(0,$F38-N($E38)))</f>
        <v/>
      </c>
      <c r="H38" s="31" t="n"/>
      <c r="I38" s="24" t="n"/>
      <c r="J38" s="24" t="n"/>
      <c r="Z38">
        <f>IF(OR($H38="",N($G38)&lt;=0),"",$H38+ROW()/100000)</f>
        <v/>
      </c>
    </row>
    <row r="39">
      <c r="A39" s="24" t="n"/>
      <c r="B39" s="24" t="n"/>
      <c r="C39" s="29" t="n"/>
      <c r="D39" s="29" t="n"/>
      <c r="E39" s="29" t="n"/>
      <c r="F39" s="30">
        <f>IF(AND($C39="",$D39=""),"",IF($D39&lt;&gt;"",$D39,N($C39)))</f>
        <v/>
      </c>
      <c r="G39" s="30">
        <f>IF($F39="","",MAX(0,$F39-N($E39)))</f>
        <v/>
      </c>
      <c r="H39" s="31" t="n"/>
      <c r="I39" s="24" t="n"/>
      <c r="J39" s="24" t="n"/>
      <c r="Z39">
        <f>IF(OR($H39="",N($G39)&lt;=0),"",$H39+ROW()/100000)</f>
        <v/>
      </c>
    </row>
    <row r="40">
      <c r="A40" s="24" t="n"/>
      <c r="B40" s="24" t="n"/>
      <c r="C40" s="29" t="n"/>
      <c r="D40" s="29" t="n"/>
      <c r="E40" s="29" t="n"/>
      <c r="F40" s="30">
        <f>IF(AND($C40="",$D40=""),"",IF($D40&lt;&gt;"",$D40,N($C40)))</f>
        <v/>
      </c>
      <c r="G40" s="30">
        <f>IF($F40="","",MAX(0,$F40-N($E40)))</f>
        <v/>
      </c>
      <c r="H40" s="31" t="n"/>
      <c r="I40" s="24" t="n"/>
      <c r="J40" s="24" t="n"/>
      <c r="Z40">
        <f>IF(OR($H40="",N($G40)&lt;=0),"",$H40+ROW()/100000)</f>
        <v/>
      </c>
    </row>
    <row r="41">
      <c r="A41" s="24" t="n"/>
      <c r="B41" s="24" t="n"/>
      <c r="C41" s="29" t="n"/>
      <c r="D41" s="29" t="n"/>
      <c r="E41" s="29" t="n"/>
      <c r="F41" s="30">
        <f>IF(AND($C41="",$D41=""),"",IF($D41&lt;&gt;"",$D41,N($C41)))</f>
        <v/>
      </c>
      <c r="G41" s="30">
        <f>IF($F41="","",MAX(0,$F41-N($E41)))</f>
        <v/>
      </c>
      <c r="H41" s="31" t="n"/>
      <c r="I41" s="24" t="n"/>
      <c r="J41" s="24" t="n"/>
      <c r="Z41">
        <f>IF(OR($H41="",N($G41)&lt;=0),"",$H41+ROW()/100000)</f>
        <v/>
      </c>
    </row>
    <row r="42">
      <c r="A42" s="24" t="n"/>
      <c r="B42" s="24" t="n"/>
      <c r="C42" s="29" t="n"/>
      <c r="D42" s="29" t="n"/>
      <c r="E42" s="29" t="n"/>
      <c r="F42" s="30">
        <f>IF(AND($C42="",$D42=""),"",IF($D42&lt;&gt;"",$D42,N($C42)))</f>
        <v/>
      </c>
      <c r="G42" s="30">
        <f>IF($F42="","",MAX(0,$F42-N($E42)))</f>
        <v/>
      </c>
      <c r="H42" s="31" t="n"/>
      <c r="I42" s="24" t="n"/>
      <c r="J42" s="24" t="n"/>
      <c r="Z42">
        <f>IF(OR($H42="",N($G42)&lt;=0),"",$H42+ROW()/100000)</f>
        <v/>
      </c>
    </row>
    <row r="43">
      <c r="A43" s="24" t="n"/>
      <c r="B43" s="24" t="n"/>
      <c r="C43" s="29" t="n"/>
      <c r="D43" s="29" t="n"/>
      <c r="E43" s="29" t="n"/>
      <c r="F43" s="30">
        <f>IF(AND($C43="",$D43=""),"",IF($D43&lt;&gt;"",$D43,N($C43)))</f>
        <v/>
      </c>
      <c r="G43" s="30">
        <f>IF($F43="","",MAX(0,$F43-N($E43)))</f>
        <v/>
      </c>
      <c r="H43" s="31" t="n"/>
      <c r="I43" s="24" t="n"/>
      <c r="J43" s="24" t="n"/>
      <c r="Z43">
        <f>IF(OR($H43="",N($G43)&lt;=0),"",$H43+ROW()/100000)</f>
        <v/>
      </c>
    </row>
    <row r="44">
      <c r="A44" s="24" t="n"/>
      <c r="B44" s="24" t="n"/>
      <c r="C44" s="29" t="n"/>
      <c r="D44" s="29" t="n"/>
      <c r="E44" s="29" t="n"/>
      <c r="F44" s="30">
        <f>IF(AND($C44="",$D44=""),"",IF($D44&lt;&gt;"",$D44,N($C44)))</f>
        <v/>
      </c>
      <c r="G44" s="30">
        <f>IF($F44="","",MAX(0,$F44-N($E44)))</f>
        <v/>
      </c>
      <c r="H44" s="31" t="n"/>
      <c r="I44" s="24" t="n"/>
      <c r="J44" s="24" t="n"/>
      <c r="Z44">
        <f>IF(OR($H44="",N($G44)&lt;=0),"",$H44+ROW()/100000)</f>
        <v/>
      </c>
    </row>
    <row r="45">
      <c r="A45" s="24" t="n"/>
      <c r="B45" s="24" t="n"/>
      <c r="C45" s="29" t="n"/>
      <c r="D45" s="29" t="n"/>
      <c r="E45" s="29" t="n"/>
      <c r="F45" s="30">
        <f>IF(AND($C45="",$D45=""),"",IF($D45&lt;&gt;"",$D45,N($C45)))</f>
        <v/>
      </c>
      <c r="G45" s="30">
        <f>IF($F45="","",MAX(0,$F45-N($E45)))</f>
        <v/>
      </c>
      <c r="H45" s="31" t="n"/>
      <c r="I45" s="24" t="n"/>
      <c r="J45" s="24" t="n"/>
      <c r="Z45">
        <f>IF(OR($H45="",N($G45)&lt;=0),"",$H45+ROW()/100000)</f>
        <v/>
      </c>
    </row>
    <row r="46">
      <c r="A46" s="24" t="n"/>
      <c r="B46" s="24" t="n"/>
      <c r="C46" s="29" t="n"/>
      <c r="D46" s="29" t="n"/>
      <c r="E46" s="29" t="n"/>
      <c r="F46" s="30">
        <f>IF(AND($C46="",$D46=""),"",IF($D46&lt;&gt;"",$D46,N($C46)))</f>
        <v/>
      </c>
      <c r="G46" s="30">
        <f>IF($F46="","",MAX(0,$F46-N($E46)))</f>
        <v/>
      </c>
      <c r="H46" s="31" t="n"/>
      <c r="I46" s="24" t="n"/>
      <c r="J46" s="24" t="n"/>
      <c r="Z46">
        <f>IF(OR($H46="",N($G46)&lt;=0),"",$H46+ROW()/100000)</f>
        <v/>
      </c>
    </row>
    <row r="47">
      <c r="A47" s="24" t="n"/>
      <c r="B47" s="24" t="n"/>
      <c r="C47" s="29" t="n"/>
      <c r="D47" s="29" t="n"/>
      <c r="E47" s="29" t="n"/>
      <c r="F47" s="30">
        <f>IF(AND($C47="",$D47=""),"",IF($D47&lt;&gt;"",$D47,N($C47)))</f>
        <v/>
      </c>
      <c r="G47" s="30">
        <f>IF($F47="","",MAX(0,$F47-N($E47)))</f>
        <v/>
      </c>
      <c r="H47" s="31" t="n"/>
      <c r="I47" s="24" t="n"/>
      <c r="J47" s="24" t="n"/>
      <c r="Z47">
        <f>IF(OR($H47="",N($G47)&lt;=0),"",$H47+ROW()/100000)</f>
        <v/>
      </c>
    </row>
    <row r="48">
      <c r="A48" s="24" t="n"/>
      <c r="B48" s="24" t="n"/>
      <c r="C48" s="29" t="n"/>
      <c r="D48" s="29" t="n"/>
      <c r="E48" s="29" t="n"/>
      <c r="F48" s="30">
        <f>IF(AND($C48="",$D48=""),"",IF($D48&lt;&gt;"",$D48,N($C48)))</f>
        <v/>
      </c>
      <c r="G48" s="30">
        <f>IF($F48="","",MAX(0,$F48-N($E48)))</f>
        <v/>
      </c>
      <c r="H48" s="31" t="n"/>
      <c r="I48" s="24" t="n"/>
      <c r="J48" s="24" t="n"/>
      <c r="Z48">
        <f>IF(OR($H48="",N($G48)&lt;=0),"",$H48+ROW()/100000)</f>
        <v/>
      </c>
    </row>
    <row r="49">
      <c r="A49" s="24" t="n"/>
      <c r="B49" s="24" t="n"/>
      <c r="C49" s="29" t="n"/>
      <c r="D49" s="29" t="n"/>
      <c r="E49" s="29" t="n"/>
      <c r="F49" s="30">
        <f>IF(AND($C49="",$D49=""),"",IF($D49&lt;&gt;"",$D49,N($C49)))</f>
        <v/>
      </c>
      <c r="G49" s="30">
        <f>IF($F49="","",MAX(0,$F49-N($E49)))</f>
        <v/>
      </c>
      <c r="H49" s="31" t="n"/>
      <c r="I49" s="24" t="n"/>
      <c r="J49" s="24" t="n"/>
      <c r="Z49">
        <f>IF(OR($H49="",N($G49)&lt;=0),"",$H49+ROW()/100000)</f>
        <v/>
      </c>
    </row>
    <row r="50">
      <c r="A50" s="24" t="n"/>
      <c r="B50" s="24" t="n"/>
      <c r="C50" s="29" t="n"/>
      <c r="D50" s="29" t="n"/>
      <c r="E50" s="29" t="n"/>
      <c r="F50" s="30">
        <f>IF(AND($C50="",$D50=""),"",IF($D50&lt;&gt;"",$D50,N($C50)))</f>
        <v/>
      </c>
      <c r="G50" s="30">
        <f>IF($F50="","",MAX(0,$F50-N($E50)))</f>
        <v/>
      </c>
      <c r="H50" s="31" t="n"/>
      <c r="I50" s="24" t="n"/>
      <c r="J50" s="24" t="n"/>
      <c r="Z50">
        <f>IF(OR($H50="",N($G50)&lt;=0),"",$H50+ROW()/100000)</f>
        <v/>
      </c>
    </row>
    <row r="51">
      <c r="A51" s="24" t="n"/>
      <c r="B51" s="24" t="n"/>
      <c r="C51" s="29" t="n"/>
      <c r="D51" s="29" t="n"/>
      <c r="E51" s="29" t="n"/>
      <c r="F51" s="30">
        <f>IF(AND($C51="",$D51=""),"",IF($D51&lt;&gt;"",$D51,N($C51)))</f>
        <v/>
      </c>
      <c r="G51" s="30">
        <f>IF($F51="","",MAX(0,$F51-N($E51)))</f>
        <v/>
      </c>
      <c r="H51" s="31" t="n"/>
      <c r="I51" s="24" t="n"/>
      <c r="J51" s="24" t="n"/>
      <c r="Z51">
        <f>IF(OR($H51="",N($G51)&lt;=0),"",$H51+ROW()/100000)</f>
        <v/>
      </c>
    </row>
    <row r="52">
      <c r="A52" s="24" t="n"/>
      <c r="B52" s="24" t="n"/>
      <c r="C52" s="29" t="n"/>
      <c r="D52" s="29" t="n"/>
      <c r="E52" s="29" t="n"/>
      <c r="F52" s="30">
        <f>IF(AND($C52="",$D52=""),"",IF($D52&lt;&gt;"",$D52,N($C52)))</f>
        <v/>
      </c>
      <c r="G52" s="30">
        <f>IF($F52="","",MAX(0,$F52-N($E52)))</f>
        <v/>
      </c>
      <c r="H52" s="31" t="n"/>
      <c r="I52" s="24" t="n"/>
      <c r="J52" s="24" t="n"/>
      <c r="Z52">
        <f>IF(OR($H52="",N($G52)&lt;=0),"",$H52+ROW()/100000)</f>
        <v/>
      </c>
    </row>
    <row r="53">
      <c r="A53" s="24" t="n"/>
      <c r="B53" s="24" t="n"/>
      <c r="C53" s="29" t="n"/>
      <c r="D53" s="29" t="n"/>
      <c r="E53" s="29" t="n"/>
      <c r="F53" s="30">
        <f>IF(AND($C53="",$D53=""),"",IF($D53&lt;&gt;"",$D53,N($C53)))</f>
        <v/>
      </c>
      <c r="G53" s="30">
        <f>IF($F53="","",MAX(0,$F53-N($E53)))</f>
        <v/>
      </c>
      <c r="H53" s="31" t="n"/>
      <c r="I53" s="24" t="n"/>
      <c r="J53" s="24" t="n"/>
      <c r="Z53">
        <f>IF(OR($H53="",N($G53)&lt;=0),"",$H53+ROW()/100000)</f>
        <v/>
      </c>
    </row>
    <row r="54">
      <c r="A54" s="24" t="n"/>
      <c r="B54" s="24" t="n"/>
      <c r="C54" s="29" t="n"/>
      <c r="D54" s="29" t="n"/>
      <c r="E54" s="29" t="n"/>
      <c r="F54" s="30">
        <f>IF(AND($C54="",$D54=""),"",IF($D54&lt;&gt;"",$D54,N($C54)))</f>
        <v/>
      </c>
      <c r="G54" s="30">
        <f>IF($F54="","",MAX(0,$F54-N($E54)))</f>
        <v/>
      </c>
      <c r="H54" s="31" t="n"/>
      <c r="I54" s="24" t="n"/>
      <c r="J54" s="24" t="n"/>
      <c r="Z54">
        <f>IF(OR($H54="",N($G54)&lt;=0),"",$H54+ROW()/100000)</f>
        <v/>
      </c>
    </row>
    <row r="55">
      <c r="A55" s="24" t="n"/>
      <c r="B55" s="24" t="n"/>
      <c r="C55" s="29" t="n"/>
      <c r="D55" s="29" t="n"/>
      <c r="E55" s="29" t="n"/>
      <c r="F55" s="30">
        <f>IF(AND($C55="",$D55=""),"",IF($D55&lt;&gt;"",$D55,N($C55)))</f>
        <v/>
      </c>
      <c r="G55" s="30">
        <f>IF($F55="","",MAX(0,$F55-N($E55)))</f>
        <v/>
      </c>
      <c r="H55" s="31" t="n"/>
      <c r="I55" s="24" t="n"/>
      <c r="J55" s="24" t="n"/>
      <c r="Z55">
        <f>IF(OR($H55="",N($G55)&lt;=0),"",$H55+ROW()/100000)</f>
        <v/>
      </c>
    </row>
    <row r="56">
      <c r="A56" s="24" t="n"/>
      <c r="B56" s="24" t="n"/>
      <c r="C56" s="29" t="n"/>
      <c r="D56" s="29" t="n"/>
      <c r="E56" s="29" t="n"/>
      <c r="F56" s="30">
        <f>IF(AND($C56="",$D56=""),"",IF($D56&lt;&gt;"",$D56,N($C56)))</f>
        <v/>
      </c>
      <c r="G56" s="30">
        <f>IF($F56="","",MAX(0,$F56-N($E56)))</f>
        <v/>
      </c>
      <c r="H56" s="31" t="n"/>
      <c r="I56" s="24" t="n"/>
      <c r="J56" s="24" t="n"/>
      <c r="Z56">
        <f>IF(OR($H56="",N($G56)&lt;=0),"",$H56+ROW()/100000)</f>
        <v/>
      </c>
    </row>
    <row r="57">
      <c r="A57" s="24" t="n"/>
      <c r="B57" s="24" t="n"/>
      <c r="C57" s="29" t="n"/>
      <c r="D57" s="29" t="n"/>
      <c r="E57" s="29" t="n"/>
      <c r="F57" s="30">
        <f>IF(AND($C57="",$D57=""),"",IF($D57&lt;&gt;"",$D57,N($C57)))</f>
        <v/>
      </c>
      <c r="G57" s="30">
        <f>IF($F57="","",MAX(0,$F57-N($E57)))</f>
        <v/>
      </c>
      <c r="H57" s="31" t="n"/>
      <c r="I57" s="24" t="n"/>
      <c r="J57" s="24" t="n"/>
      <c r="Z57">
        <f>IF(OR($H57="",N($G57)&lt;=0),"",$H57+ROW()/100000)</f>
        <v/>
      </c>
    </row>
    <row r="58">
      <c r="A58" s="24" t="n"/>
      <c r="B58" s="24" t="n"/>
      <c r="C58" s="29" t="n"/>
      <c r="D58" s="29" t="n"/>
      <c r="E58" s="29" t="n"/>
      <c r="F58" s="30">
        <f>IF(AND($C58="",$D58=""),"",IF($D58&lt;&gt;"",$D58,N($C58)))</f>
        <v/>
      </c>
      <c r="G58" s="30">
        <f>IF($F58="","",MAX(0,$F58-N($E58)))</f>
        <v/>
      </c>
      <c r="H58" s="31" t="n"/>
      <c r="I58" s="24" t="n"/>
      <c r="J58" s="24" t="n"/>
      <c r="Z58">
        <f>IF(OR($H58="",N($G58)&lt;=0),"",$H58+ROW()/100000)</f>
        <v/>
      </c>
    </row>
    <row r="59">
      <c r="A59" s="24" t="n"/>
      <c r="B59" s="24" t="n"/>
      <c r="C59" s="29" t="n"/>
      <c r="D59" s="29" t="n"/>
      <c r="E59" s="29" t="n"/>
      <c r="F59" s="30">
        <f>IF(AND($C59="",$D59=""),"",IF($D59&lt;&gt;"",$D59,N($C59)))</f>
        <v/>
      </c>
      <c r="G59" s="30">
        <f>IF($F59="","",MAX(0,$F59-N($E59)))</f>
        <v/>
      </c>
      <c r="H59" s="31" t="n"/>
      <c r="I59" s="24" t="n"/>
      <c r="J59" s="24" t="n"/>
      <c r="Z59">
        <f>IF(OR($H59="",N($G59)&lt;=0),"",$H59+ROW()/100000)</f>
        <v/>
      </c>
    </row>
    <row r="60">
      <c r="A60" s="24" t="n"/>
      <c r="B60" s="24" t="n"/>
      <c r="C60" s="29" t="n"/>
      <c r="D60" s="29" t="n"/>
      <c r="E60" s="29" t="n"/>
      <c r="F60" s="30">
        <f>IF(AND($C60="",$D60=""),"",IF($D60&lt;&gt;"",$D60,N($C60)))</f>
        <v/>
      </c>
      <c r="G60" s="30">
        <f>IF($F60="","",MAX(0,$F60-N($E60)))</f>
        <v/>
      </c>
      <c r="H60" s="31" t="n"/>
      <c r="I60" s="24" t="n"/>
      <c r="J60" s="24" t="n"/>
      <c r="Z60">
        <f>IF(OR($H60="",N($G60)&lt;=0),"",$H60+ROW()/100000)</f>
        <v/>
      </c>
    </row>
    <row r="61">
      <c r="A61" s="24" t="n"/>
      <c r="B61" s="24" t="n"/>
      <c r="C61" s="29" t="n"/>
      <c r="D61" s="29" t="n"/>
      <c r="E61" s="29" t="n"/>
      <c r="F61" s="30">
        <f>IF(AND($C61="",$D61=""),"",IF($D61&lt;&gt;"",$D61,N($C61)))</f>
        <v/>
      </c>
      <c r="G61" s="30">
        <f>IF($F61="","",MAX(0,$F61-N($E61)))</f>
        <v/>
      </c>
      <c r="H61" s="31" t="n"/>
      <c r="I61" s="24" t="n"/>
      <c r="J61" s="24" t="n"/>
      <c r="Z61">
        <f>IF(OR($H61="",N($G61)&lt;=0),"",$H61+ROW()/100000)</f>
        <v/>
      </c>
    </row>
    <row r="62">
      <c r="A62" s="24" t="n"/>
      <c r="B62" s="24" t="n"/>
      <c r="C62" s="29" t="n"/>
      <c r="D62" s="29" t="n"/>
      <c r="E62" s="29" t="n"/>
      <c r="F62" s="30">
        <f>IF(AND($C62="",$D62=""),"",IF($D62&lt;&gt;"",$D62,N($C62)))</f>
        <v/>
      </c>
      <c r="G62" s="30">
        <f>IF($F62="","",MAX(0,$F62-N($E62)))</f>
        <v/>
      </c>
      <c r="H62" s="31" t="n"/>
      <c r="I62" s="24" t="n"/>
      <c r="J62" s="24" t="n"/>
      <c r="Z62">
        <f>IF(OR($H62="",N($G62)&lt;=0),"",$H62+ROW()/100000)</f>
        <v/>
      </c>
    </row>
    <row r="63">
      <c r="A63" s="24" t="n"/>
      <c r="B63" s="24" t="n"/>
      <c r="C63" s="29" t="n"/>
      <c r="D63" s="29" t="n"/>
      <c r="E63" s="29" t="n"/>
      <c r="F63" s="30">
        <f>IF(AND($C63="",$D63=""),"",IF($D63&lt;&gt;"",$D63,N($C63)))</f>
        <v/>
      </c>
      <c r="G63" s="30">
        <f>IF($F63="","",MAX(0,$F63-N($E63)))</f>
        <v/>
      </c>
      <c r="H63" s="31" t="n"/>
      <c r="I63" s="24" t="n"/>
      <c r="J63" s="24" t="n"/>
      <c r="Z63">
        <f>IF(OR($H63="",N($G63)&lt;=0),"",$H63+ROW()/100000)</f>
        <v/>
      </c>
    </row>
    <row r="64">
      <c r="A64" s="24" t="n"/>
      <c r="B64" s="24" t="n"/>
      <c r="C64" s="29" t="n"/>
      <c r="D64" s="29" t="n"/>
      <c r="E64" s="29" t="n"/>
      <c r="F64" s="30">
        <f>IF(AND($C64="",$D64=""),"",IF($D64&lt;&gt;"",$D64,N($C64)))</f>
        <v/>
      </c>
      <c r="G64" s="30">
        <f>IF($F64="","",MAX(0,$F64-N($E64)))</f>
        <v/>
      </c>
      <c r="H64" s="31" t="n"/>
      <c r="I64" s="24" t="n"/>
      <c r="J64" s="24" t="n"/>
      <c r="Z64">
        <f>IF(OR($H64="",N($G64)&lt;=0),"",$H64+ROW()/100000)</f>
        <v/>
      </c>
    </row>
    <row r="65">
      <c r="A65" s="24" t="n"/>
      <c r="B65" s="24" t="n"/>
      <c r="C65" s="29" t="n"/>
      <c r="D65" s="29" t="n"/>
      <c r="E65" s="29" t="n"/>
      <c r="F65" s="30">
        <f>IF(AND($C65="",$D65=""),"",IF($D65&lt;&gt;"",$D65,N($C65)))</f>
        <v/>
      </c>
      <c r="G65" s="30">
        <f>IF($F65="","",MAX(0,$F65-N($E65)))</f>
        <v/>
      </c>
      <c r="H65" s="31" t="n"/>
      <c r="I65" s="24" t="n"/>
      <c r="J65" s="24" t="n"/>
      <c r="Z65">
        <f>IF(OR($H65="",N($G65)&lt;=0),"",$H65+ROW()/100000)</f>
        <v/>
      </c>
    </row>
    <row r="66">
      <c r="A66" s="24" t="n"/>
      <c r="B66" s="24" t="n"/>
      <c r="C66" s="29" t="n"/>
      <c r="D66" s="29" t="n"/>
      <c r="E66" s="29" t="n"/>
      <c r="F66" s="30">
        <f>IF(AND($C66="",$D66=""),"",IF($D66&lt;&gt;"",$D66,N($C66)))</f>
        <v/>
      </c>
      <c r="G66" s="30">
        <f>IF($F66="","",MAX(0,$F66-N($E66)))</f>
        <v/>
      </c>
      <c r="H66" s="31" t="n"/>
      <c r="I66" s="24" t="n"/>
      <c r="J66" s="24" t="n"/>
      <c r="Z66">
        <f>IF(OR($H66="",N($G66)&lt;=0),"",$H66+ROW()/100000)</f>
        <v/>
      </c>
    </row>
    <row r="67">
      <c r="A67" s="24" t="n"/>
      <c r="B67" s="24" t="n"/>
      <c r="C67" s="29" t="n"/>
      <c r="D67" s="29" t="n"/>
      <c r="E67" s="29" t="n"/>
      <c r="F67" s="30">
        <f>IF(AND($C67="",$D67=""),"",IF($D67&lt;&gt;"",$D67,N($C67)))</f>
        <v/>
      </c>
      <c r="G67" s="30">
        <f>IF($F67="","",MAX(0,$F67-N($E67)))</f>
        <v/>
      </c>
      <c r="H67" s="31" t="n"/>
      <c r="I67" s="24" t="n"/>
      <c r="J67" s="24" t="n"/>
      <c r="Z67">
        <f>IF(OR($H67="",N($G67)&lt;=0),"",$H67+ROW()/100000)</f>
        <v/>
      </c>
    </row>
    <row r="68">
      <c r="A68" s="24" t="n"/>
      <c r="B68" s="24" t="n"/>
      <c r="C68" s="29" t="n"/>
      <c r="D68" s="29" t="n"/>
      <c r="E68" s="29" t="n"/>
      <c r="F68" s="30">
        <f>IF(AND($C68="",$D68=""),"",IF($D68&lt;&gt;"",$D68,N($C68)))</f>
        <v/>
      </c>
      <c r="G68" s="30">
        <f>IF($F68="","",MAX(0,$F68-N($E68)))</f>
        <v/>
      </c>
      <c r="H68" s="31" t="n"/>
      <c r="I68" s="24" t="n"/>
      <c r="J68" s="24" t="n"/>
      <c r="Z68">
        <f>IF(OR($H68="",N($G68)&lt;=0),"",$H68+ROW()/100000)</f>
        <v/>
      </c>
    </row>
    <row r="69">
      <c r="A69" s="24" t="n"/>
      <c r="B69" s="24" t="n"/>
      <c r="C69" s="29" t="n"/>
      <c r="D69" s="29" t="n"/>
      <c r="E69" s="29" t="n"/>
      <c r="F69" s="30">
        <f>IF(AND($C69="",$D69=""),"",IF($D69&lt;&gt;"",$D69,N($C69)))</f>
        <v/>
      </c>
      <c r="G69" s="30">
        <f>IF($F69="","",MAX(0,$F69-N($E69)))</f>
        <v/>
      </c>
      <c r="H69" s="31" t="n"/>
      <c r="I69" s="24" t="n"/>
      <c r="J69" s="24" t="n"/>
      <c r="Z69">
        <f>IF(OR($H69="",N($G69)&lt;=0),"",$H69+ROW()/100000)</f>
        <v/>
      </c>
    </row>
    <row r="70">
      <c r="A70" s="24" t="n"/>
      <c r="B70" s="24" t="n"/>
      <c r="C70" s="29" t="n"/>
      <c r="D70" s="29" t="n"/>
      <c r="E70" s="29" t="n"/>
      <c r="F70" s="30">
        <f>IF(AND($C70="",$D70=""),"",IF($D70&lt;&gt;"",$D70,N($C70)))</f>
        <v/>
      </c>
      <c r="G70" s="30">
        <f>IF($F70="","",MAX(0,$F70-N($E70)))</f>
        <v/>
      </c>
      <c r="H70" s="31" t="n"/>
      <c r="I70" s="24" t="n"/>
      <c r="J70" s="24" t="n"/>
      <c r="Z70">
        <f>IF(OR($H70="",N($G70)&lt;=0),"",$H70+ROW()/100000)</f>
        <v/>
      </c>
    </row>
    <row r="71">
      <c r="A71" s="24" t="n"/>
      <c r="B71" s="24" t="n"/>
      <c r="C71" s="29" t="n"/>
      <c r="D71" s="29" t="n"/>
      <c r="E71" s="29" t="n"/>
      <c r="F71" s="30">
        <f>IF(AND($C71="",$D71=""),"",IF($D71&lt;&gt;"",$D71,N($C71)))</f>
        <v/>
      </c>
      <c r="G71" s="30">
        <f>IF($F71="","",MAX(0,$F71-N($E71)))</f>
        <v/>
      </c>
      <c r="H71" s="31" t="n"/>
      <c r="I71" s="24" t="n"/>
      <c r="J71" s="24" t="n"/>
      <c r="Z71">
        <f>IF(OR($H71="",N($G71)&lt;=0),"",$H71+ROW()/100000)</f>
        <v/>
      </c>
    </row>
    <row r="72">
      <c r="A72" s="24" t="n"/>
      <c r="B72" s="24" t="n"/>
      <c r="C72" s="29" t="n"/>
      <c r="D72" s="29" t="n"/>
      <c r="E72" s="29" t="n"/>
      <c r="F72" s="30">
        <f>IF(AND($C72="",$D72=""),"",IF($D72&lt;&gt;"",$D72,N($C72)))</f>
        <v/>
      </c>
      <c r="G72" s="30">
        <f>IF($F72="","",MAX(0,$F72-N($E72)))</f>
        <v/>
      </c>
      <c r="H72" s="31" t="n"/>
      <c r="I72" s="24" t="n"/>
      <c r="J72" s="24" t="n"/>
      <c r="Z72">
        <f>IF(OR($H72="",N($G72)&lt;=0),"",$H72+ROW()/100000)</f>
        <v/>
      </c>
    </row>
    <row r="73">
      <c r="A73" s="24" t="n"/>
      <c r="B73" s="24" t="n"/>
      <c r="C73" s="29" t="n"/>
      <c r="D73" s="29" t="n"/>
      <c r="E73" s="29" t="n"/>
      <c r="F73" s="30">
        <f>IF(AND($C73="",$D73=""),"",IF($D73&lt;&gt;"",$D73,N($C73)))</f>
        <v/>
      </c>
      <c r="G73" s="30">
        <f>IF($F73="","",MAX(0,$F73-N($E73)))</f>
        <v/>
      </c>
      <c r="H73" s="31" t="n"/>
      <c r="I73" s="24" t="n"/>
      <c r="J73" s="24" t="n"/>
      <c r="Z73">
        <f>IF(OR($H73="",N($G73)&lt;=0),"",$H73+ROW()/100000)</f>
        <v/>
      </c>
    </row>
    <row r="74">
      <c r="A74" s="24" t="n"/>
      <c r="B74" s="24" t="n"/>
      <c r="C74" s="29" t="n"/>
      <c r="D74" s="29" t="n"/>
      <c r="E74" s="29" t="n"/>
      <c r="F74" s="30">
        <f>IF(AND($C74="",$D74=""),"",IF($D74&lt;&gt;"",$D74,N($C74)))</f>
        <v/>
      </c>
      <c r="G74" s="30">
        <f>IF($F74="","",MAX(0,$F74-N($E74)))</f>
        <v/>
      </c>
      <c r="H74" s="31" t="n"/>
      <c r="I74" s="24" t="n"/>
      <c r="J74" s="24" t="n"/>
      <c r="Z74">
        <f>IF(OR($H74="",N($G74)&lt;=0),"",$H74+ROW()/100000)</f>
        <v/>
      </c>
    </row>
    <row r="75">
      <c r="A75" s="24" t="n"/>
      <c r="B75" s="24" t="n"/>
      <c r="C75" s="29" t="n"/>
      <c r="D75" s="29" t="n"/>
      <c r="E75" s="29" t="n"/>
      <c r="F75" s="30">
        <f>IF(AND($C75="",$D75=""),"",IF($D75&lt;&gt;"",$D75,N($C75)))</f>
        <v/>
      </c>
      <c r="G75" s="30">
        <f>IF($F75="","",MAX(0,$F75-N($E75)))</f>
        <v/>
      </c>
      <c r="H75" s="31" t="n"/>
      <c r="I75" s="24" t="n"/>
      <c r="J75" s="24" t="n"/>
      <c r="Z75">
        <f>IF(OR($H75="",N($G75)&lt;=0),"",$H75+ROW()/100000)</f>
        <v/>
      </c>
    </row>
    <row r="76">
      <c r="A76" s="24" t="n"/>
      <c r="B76" s="24" t="n"/>
      <c r="C76" s="29" t="n"/>
      <c r="D76" s="29" t="n"/>
      <c r="E76" s="29" t="n"/>
      <c r="F76" s="30">
        <f>IF(AND($C76="",$D76=""),"",IF($D76&lt;&gt;"",$D76,N($C76)))</f>
        <v/>
      </c>
      <c r="G76" s="30">
        <f>IF($F76="","",MAX(0,$F76-N($E76)))</f>
        <v/>
      </c>
      <c r="H76" s="31" t="n"/>
      <c r="I76" s="24" t="n"/>
      <c r="J76" s="24" t="n"/>
      <c r="Z76">
        <f>IF(OR($H76="",N($G76)&lt;=0),"",$H76+ROW()/100000)</f>
        <v/>
      </c>
    </row>
    <row r="77">
      <c r="A77" s="24" t="n"/>
      <c r="B77" s="24" t="n"/>
      <c r="C77" s="29" t="n"/>
      <c r="D77" s="29" t="n"/>
      <c r="E77" s="29" t="n"/>
      <c r="F77" s="30">
        <f>IF(AND($C77="",$D77=""),"",IF($D77&lt;&gt;"",$D77,N($C77)))</f>
        <v/>
      </c>
      <c r="G77" s="30">
        <f>IF($F77="","",MAX(0,$F77-N($E77)))</f>
        <v/>
      </c>
      <c r="H77" s="31" t="n"/>
      <c r="I77" s="24" t="n"/>
      <c r="J77" s="24" t="n"/>
      <c r="Z77">
        <f>IF(OR($H77="",N($G77)&lt;=0),"",$H77+ROW()/100000)</f>
        <v/>
      </c>
    </row>
    <row r="78">
      <c r="A78" s="24" t="n"/>
      <c r="B78" s="24" t="n"/>
      <c r="C78" s="29" t="n"/>
      <c r="D78" s="29" t="n"/>
      <c r="E78" s="29" t="n"/>
      <c r="F78" s="30">
        <f>IF(AND($C78="",$D78=""),"",IF($D78&lt;&gt;"",$D78,N($C78)))</f>
        <v/>
      </c>
      <c r="G78" s="30">
        <f>IF($F78="","",MAX(0,$F78-N($E78)))</f>
        <v/>
      </c>
      <c r="H78" s="31" t="n"/>
      <c r="I78" s="24" t="n"/>
      <c r="J78" s="24" t="n"/>
      <c r="Z78">
        <f>IF(OR($H78="",N($G78)&lt;=0),"",$H78+ROW()/100000)</f>
        <v/>
      </c>
    </row>
    <row r="79">
      <c r="A79" s="24" t="n"/>
      <c r="B79" s="24" t="n"/>
      <c r="C79" s="29" t="n"/>
      <c r="D79" s="29" t="n"/>
      <c r="E79" s="29" t="n"/>
      <c r="F79" s="30">
        <f>IF(AND($C79="",$D79=""),"",IF($D79&lt;&gt;"",$D79,N($C79)))</f>
        <v/>
      </c>
      <c r="G79" s="30">
        <f>IF($F79="","",MAX(0,$F79-N($E79)))</f>
        <v/>
      </c>
      <c r="H79" s="31" t="n"/>
      <c r="I79" s="24" t="n"/>
      <c r="J79" s="24" t="n"/>
      <c r="Z79">
        <f>IF(OR($H79="",N($G79)&lt;=0),"",$H79+ROW()/100000)</f>
        <v/>
      </c>
    </row>
    <row r="80">
      <c r="A80" s="24" t="n"/>
      <c r="B80" s="24" t="n"/>
      <c r="C80" s="29" t="n"/>
      <c r="D80" s="29" t="n"/>
      <c r="E80" s="29" t="n"/>
      <c r="F80" s="30">
        <f>IF(AND($C80="",$D80=""),"",IF($D80&lt;&gt;"",$D80,N($C80)))</f>
        <v/>
      </c>
      <c r="G80" s="30">
        <f>IF($F80="","",MAX(0,$F80-N($E80)))</f>
        <v/>
      </c>
      <c r="H80" s="31" t="n"/>
      <c r="I80" s="24" t="n"/>
      <c r="J80" s="24" t="n"/>
      <c r="Z80">
        <f>IF(OR($H80="",N($G80)&lt;=0),"",$H80+ROW()/100000)</f>
        <v/>
      </c>
    </row>
    <row r="81">
      <c r="A81" s="24" t="n"/>
      <c r="B81" s="24" t="n"/>
      <c r="C81" s="29" t="n"/>
      <c r="D81" s="29" t="n"/>
      <c r="E81" s="29" t="n"/>
      <c r="F81" s="30">
        <f>IF(AND($C81="",$D81=""),"",IF($D81&lt;&gt;"",$D81,N($C81)))</f>
        <v/>
      </c>
      <c r="G81" s="30">
        <f>IF($F81="","",MAX(0,$F81-N($E81)))</f>
        <v/>
      </c>
      <c r="H81" s="31" t="n"/>
      <c r="I81" s="24" t="n"/>
      <c r="J81" s="24" t="n"/>
      <c r="Z81">
        <f>IF(OR($H81="",N($G81)&lt;=0),"",$H81+ROW()/100000)</f>
        <v/>
      </c>
    </row>
    <row r="82">
      <c r="A82" s="24" t="n"/>
      <c r="B82" s="24" t="n"/>
      <c r="C82" s="29" t="n"/>
      <c r="D82" s="29" t="n"/>
      <c r="E82" s="29" t="n"/>
      <c r="F82" s="30">
        <f>IF(AND($C82="",$D82=""),"",IF($D82&lt;&gt;"",$D82,N($C82)))</f>
        <v/>
      </c>
      <c r="G82" s="30">
        <f>IF($F82="","",MAX(0,$F82-N($E82)))</f>
        <v/>
      </c>
      <c r="H82" s="31" t="n"/>
      <c r="I82" s="24" t="n"/>
      <c r="J82" s="24" t="n"/>
      <c r="Z82">
        <f>IF(OR($H82="",N($G82)&lt;=0),"",$H82+ROW()/100000)</f>
        <v/>
      </c>
    </row>
    <row r="83">
      <c r="A83" s="24" t="n"/>
      <c r="B83" s="24" t="n"/>
      <c r="C83" s="29" t="n"/>
      <c r="D83" s="29" t="n"/>
      <c r="E83" s="29" t="n"/>
      <c r="F83" s="30">
        <f>IF(AND($C83="",$D83=""),"",IF($D83&lt;&gt;"",$D83,N($C83)))</f>
        <v/>
      </c>
      <c r="G83" s="30">
        <f>IF($F83="","",MAX(0,$F83-N($E83)))</f>
        <v/>
      </c>
      <c r="H83" s="31" t="n"/>
      <c r="I83" s="24" t="n"/>
      <c r="J83" s="24" t="n"/>
      <c r="Z83">
        <f>IF(OR($H83="",N($G83)&lt;=0),"",$H83+ROW()/100000)</f>
        <v/>
      </c>
    </row>
    <row r="84">
      <c r="A84" s="24" t="n"/>
      <c r="B84" s="24" t="n"/>
      <c r="C84" s="29" t="n"/>
      <c r="D84" s="29" t="n"/>
      <c r="E84" s="29" t="n"/>
      <c r="F84" s="30">
        <f>IF(AND($C84="",$D84=""),"",IF($D84&lt;&gt;"",$D84,N($C84)))</f>
        <v/>
      </c>
      <c r="G84" s="30">
        <f>IF($F84="","",MAX(0,$F84-N($E84)))</f>
        <v/>
      </c>
      <c r="H84" s="31" t="n"/>
      <c r="I84" s="24" t="n"/>
      <c r="J84" s="24" t="n"/>
      <c r="Z84">
        <f>IF(OR($H84="",N($G84)&lt;=0),"",$H84+ROW()/100000)</f>
        <v/>
      </c>
    </row>
    <row r="85">
      <c r="A85" s="24" t="n"/>
      <c r="B85" s="24" t="n"/>
      <c r="C85" s="29" t="n"/>
      <c r="D85" s="29" t="n"/>
      <c r="E85" s="29" t="n"/>
      <c r="F85" s="30">
        <f>IF(AND($C85="",$D85=""),"",IF($D85&lt;&gt;"",$D85,N($C85)))</f>
        <v/>
      </c>
      <c r="G85" s="30">
        <f>IF($F85="","",MAX(0,$F85-N($E85)))</f>
        <v/>
      </c>
      <c r="H85" s="31" t="n"/>
      <c r="I85" s="24" t="n"/>
      <c r="J85" s="24" t="n"/>
      <c r="Z85">
        <f>IF(OR($H85="",N($G85)&lt;=0),"",$H85+ROW()/100000)</f>
        <v/>
      </c>
    </row>
    <row r="86">
      <c r="A86" s="24" t="n"/>
      <c r="B86" s="24" t="n"/>
      <c r="C86" s="29" t="n"/>
      <c r="D86" s="29" t="n"/>
      <c r="E86" s="29" t="n"/>
      <c r="F86" s="30">
        <f>IF(AND($C86="",$D86=""),"",IF($D86&lt;&gt;"",$D86,N($C86)))</f>
        <v/>
      </c>
      <c r="G86" s="30">
        <f>IF($F86="","",MAX(0,$F86-N($E86)))</f>
        <v/>
      </c>
      <c r="H86" s="31" t="n"/>
      <c r="I86" s="24" t="n"/>
      <c r="J86" s="24" t="n"/>
      <c r="Z86">
        <f>IF(OR($H86="",N($G86)&lt;=0),"",$H86+ROW()/100000)</f>
        <v/>
      </c>
    </row>
    <row r="87">
      <c r="A87" s="24" t="n"/>
      <c r="B87" s="24" t="n"/>
      <c r="C87" s="29" t="n"/>
      <c r="D87" s="29" t="n"/>
      <c r="E87" s="29" t="n"/>
      <c r="F87" s="30">
        <f>IF(AND($C87="",$D87=""),"",IF($D87&lt;&gt;"",$D87,N($C87)))</f>
        <v/>
      </c>
      <c r="G87" s="30">
        <f>IF($F87="","",MAX(0,$F87-N($E87)))</f>
        <v/>
      </c>
      <c r="H87" s="31" t="n"/>
      <c r="I87" s="24" t="n"/>
      <c r="J87" s="24" t="n"/>
      <c r="Z87">
        <f>IF(OR($H87="",N($G87)&lt;=0),"",$H87+ROW()/100000)</f>
        <v/>
      </c>
    </row>
    <row r="88">
      <c r="A88" s="24" t="n"/>
      <c r="B88" s="24" t="n"/>
      <c r="C88" s="29" t="n"/>
      <c r="D88" s="29" t="n"/>
      <c r="E88" s="29" t="n"/>
      <c r="F88" s="30">
        <f>IF(AND($C88="",$D88=""),"",IF($D88&lt;&gt;"",$D88,N($C88)))</f>
        <v/>
      </c>
      <c r="G88" s="30">
        <f>IF($F88="","",MAX(0,$F88-N($E88)))</f>
        <v/>
      </c>
      <c r="H88" s="31" t="n"/>
      <c r="I88" s="24" t="n"/>
      <c r="J88" s="24" t="n"/>
      <c r="Z88">
        <f>IF(OR($H88="",N($G88)&lt;=0),"",$H88+ROW()/100000)</f>
        <v/>
      </c>
    </row>
    <row r="89">
      <c r="A89" s="24" t="n"/>
      <c r="B89" s="24" t="n"/>
      <c r="C89" s="29" t="n"/>
      <c r="D89" s="29" t="n"/>
      <c r="E89" s="29" t="n"/>
      <c r="F89" s="30">
        <f>IF(AND($C89="",$D89=""),"",IF($D89&lt;&gt;"",$D89,N($C89)))</f>
        <v/>
      </c>
      <c r="G89" s="30">
        <f>IF($F89="","",MAX(0,$F89-N($E89)))</f>
        <v/>
      </c>
      <c r="H89" s="31" t="n"/>
      <c r="I89" s="24" t="n"/>
      <c r="J89" s="24" t="n"/>
      <c r="Z89">
        <f>IF(OR($H89="",N($G89)&lt;=0),"",$H89+ROW()/100000)</f>
        <v/>
      </c>
    </row>
  </sheetData>
  <mergeCells count="1">
    <mergeCell ref="L21:Q23"/>
  </mergeCells>
  <conditionalFormatting sqref="D5:D89">
    <cfRule type="expression" priority="1" dxfId="0" stopIfTrue="0">
      <formula>AND(N($D5)&gt;0,N($C5)&gt;0,$D5&gt;$C5)</formula>
    </cfRule>
  </conditionalFormatting>
  <conditionalFormatting sqref="H5:H89">
    <cfRule type="expression" priority="2" dxfId="0" stopIfTrue="0">
      <formula>AND(ISNUMBER($H5),$H5&lt;TODAY(),N($G5)&gt;0)</formula>
    </cfRule>
  </conditionalFormatting>
  <conditionalFormatting sqref="Q5:Q19">
    <cfRule type="expression" priority="3" dxfId="0" stopIfTrue="0">
      <formula>Q5&lt;0</formula>
    </cfRule>
  </conditionalFormatting>
  <dataValidations count="1">
    <dataValidation sqref="A5:A89" showDropDown="0" showInputMessage="0" showErrorMessage="1" allowBlank="1" errorTitle="Neplatná hodnota" error="Vyberte hodnotu ze seznamu." type="list">
      <formula1>=$L$5:$L$18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M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7" customWidth="1" min="4" max="4"/>
    <col width="8" customWidth="1" min="5" max="5"/>
    <col width="17" customWidth="1" min="6" max="6"/>
    <col width="11" customWidth="1" min="7" max="7"/>
    <col width="12" customWidth="1" min="8" max="8"/>
    <col width="13" customWidth="1" min="9" max="9"/>
    <col width="11" customWidth="1" min="10" max="10"/>
    <col width="7" customWidth="1" min="11" max="11"/>
    <col width="30" customWidth="1" min="12" max="12"/>
    <col width="24" customWidth="1" min="13" max="13"/>
  </cols>
  <sheetData>
    <row r="1" ht="34" customHeight="1">
      <c r="A1" s="1" t="inlineStr">
        <is>
          <t>Hosté</t>
        </is>
      </c>
    </row>
    <row r="2">
      <c r="A2" s="2" t="inlineStr">
        <is>
          <t>Jeden řádek = jedna pozvánka (domácnost). Do sloupce Osob napište, kolik lidí na ni přijde. Odpovědi zapisujte průběžně, přehled se přepočítá sám.</t>
        </is>
      </c>
    </row>
    <row r="4" ht="32" customHeight="1">
      <c r="A4" s="22" t="inlineStr">
        <is>
          <t>Jméno</t>
        </is>
      </c>
      <c r="B4" s="22" t="inlineStr">
        <is>
          <t>Strana</t>
        </is>
      </c>
      <c r="C4" s="22" t="inlineStr">
        <is>
          <t>Skupina</t>
        </is>
      </c>
      <c r="D4" s="23" t="inlineStr">
        <is>
          <t>Osob</t>
        </is>
      </c>
      <c r="E4" s="23" t="inlineStr">
        <is>
          <t>Z toho děti</t>
        </is>
      </c>
      <c r="F4" s="22" t="inlineStr">
        <is>
          <t>Pozvaní na</t>
        </is>
      </c>
      <c r="G4" s="23" t="inlineStr">
        <is>
          <t>Oznámení odesláno</t>
        </is>
      </c>
      <c r="H4" s="23" t="inlineStr">
        <is>
          <t>Odpověď</t>
        </is>
      </c>
      <c r="I4" s="22" t="inlineStr">
        <is>
          <t>Strava</t>
        </is>
      </c>
      <c r="J4" s="23" t="inlineStr">
        <is>
          <t>Ubytování</t>
        </is>
      </c>
      <c r="K4" s="23" t="inlineStr">
        <is>
          <t>Stůl</t>
        </is>
      </c>
      <c r="L4" s="22" t="inlineStr">
        <is>
          <t>Adresa / kontakt</t>
        </is>
      </c>
      <c r="M4" s="22" t="inlineStr">
        <is>
          <t>Poznámka</t>
        </is>
      </c>
    </row>
    <row r="5">
      <c r="A5" s="24" t="inlineStr">
        <is>
          <t>Marie a Josef Novákovi</t>
        </is>
      </c>
      <c r="B5" s="24" t="inlineStr">
        <is>
          <t>Nevěsta</t>
        </is>
      </c>
      <c r="C5" s="24" t="inlineStr">
        <is>
          <t>Rodina</t>
        </is>
      </c>
      <c r="D5" s="25" t="n">
        <v>2</v>
      </c>
      <c r="E5" s="25" t="n">
        <v>0</v>
      </c>
      <c r="F5" s="24" t="inlineStr">
        <is>
          <t>Obřad a hostina</t>
        </is>
      </c>
      <c r="G5" s="27" t="inlineStr">
        <is>
          <t>Ano</t>
        </is>
      </c>
      <c r="H5" s="27" t="inlineStr">
        <is>
          <t>Potvrzeno</t>
        </is>
      </c>
      <c r="I5" s="24" t="inlineStr">
        <is>
          <t>Bez omezení</t>
        </is>
      </c>
      <c r="J5" s="27" t="inlineStr">
        <is>
          <t>Ne</t>
        </is>
      </c>
      <c r="K5" s="25" t="n">
        <v>1</v>
      </c>
      <c r="L5" s="24" t="n"/>
      <c r="M5" s="24" t="n"/>
    </row>
    <row r="6">
      <c r="A6" s="24" t="inlineStr">
        <is>
          <t>Eva a Tomáš Svobodovi</t>
        </is>
      </c>
      <c r="B6" s="24" t="inlineStr">
        <is>
          <t>Ženich</t>
        </is>
      </c>
      <c r="C6" s="24" t="inlineStr">
        <is>
          <t>Rodina</t>
        </is>
      </c>
      <c r="D6" s="25" t="n">
        <v>2</v>
      </c>
      <c r="E6" s="25" t="n">
        <v>0</v>
      </c>
      <c r="F6" s="24" t="inlineStr">
        <is>
          <t>Obřad a hostina</t>
        </is>
      </c>
      <c r="G6" s="27" t="inlineStr">
        <is>
          <t>Ano</t>
        </is>
      </c>
      <c r="H6" s="27" t="inlineStr">
        <is>
          <t>Potvrzeno</t>
        </is>
      </c>
      <c r="I6" s="24" t="inlineStr">
        <is>
          <t>Bez omezení</t>
        </is>
      </c>
      <c r="J6" s="27" t="inlineStr">
        <is>
          <t>Ne</t>
        </is>
      </c>
      <c r="K6" s="25" t="n">
        <v>1</v>
      </c>
      <c r="L6" s="24" t="n"/>
      <c r="M6" s="24" t="n"/>
    </row>
    <row r="7">
      <c r="A7" s="24" t="inlineStr">
        <is>
          <t>Babička Anna Nováková</t>
        </is>
      </c>
      <c r="B7" s="24" t="inlineStr">
        <is>
          <t>Nevěsta</t>
        </is>
      </c>
      <c r="C7" s="24" t="inlineStr">
        <is>
          <t>Rodina</t>
        </is>
      </c>
      <c r="D7" s="25" t="n">
        <v>1</v>
      </c>
      <c r="E7" s="25" t="n">
        <v>0</v>
      </c>
      <c r="F7" s="24" t="inlineStr">
        <is>
          <t>Obřad a hostina</t>
        </is>
      </c>
      <c r="G7" s="27" t="inlineStr">
        <is>
          <t>Ano</t>
        </is>
      </c>
      <c r="H7" s="27" t="inlineStr">
        <is>
          <t>Potvrzeno</t>
        </is>
      </c>
      <c r="I7" s="24" t="inlineStr">
        <is>
          <t>Bez lepku</t>
        </is>
      </c>
      <c r="J7" s="27" t="inlineStr">
        <is>
          <t>Ano</t>
        </is>
      </c>
      <c r="K7" s="25" t="n">
        <v>2</v>
      </c>
      <c r="L7" s="24" t="n"/>
      <c r="M7" s="24" t="n"/>
    </row>
    <row r="8">
      <c r="A8" s="24" t="inlineStr">
        <is>
          <t>Petr Novák s rodinou</t>
        </is>
      </c>
      <c r="B8" s="24" t="inlineStr">
        <is>
          <t>Nevěsta</t>
        </is>
      </c>
      <c r="C8" s="24" t="inlineStr">
        <is>
          <t>Rodina</t>
        </is>
      </c>
      <c r="D8" s="25" t="n">
        <v>4</v>
      </c>
      <c r="E8" s="25" t="n">
        <v>2</v>
      </c>
      <c r="F8" s="24" t="inlineStr">
        <is>
          <t>Obřad a hostina</t>
        </is>
      </c>
      <c r="G8" s="27" t="inlineStr">
        <is>
          <t>Ano</t>
        </is>
      </c>
      <c r="H8" s="27" t="inlineStr">
        <is>
          <t>Potvrzeno</t>
        </is>
      </c>
      <c r="I8" s="24" t="inlineStr">
        <is>
          <t>Bez omezení</t>
        </is>
      </c>
      <c r="J8" s="27" t="inlineStr">
        <is>
          <t>Ano</t>
        </is>
      </c>
      <c r="K8" s="25" t="n">
        <v>2</v>
      </c>
      <c r="L8" s="24" t="n"/>
      <c r="M8" s="24" t="n"/>
    </row>
    <row r="9">
      <c r="A9" s="24" t="inlineStr">
        <is>
          <t>Jana Horáková s rodinou</t>
        </is>
      </c>
      <c r="B9" s="24" t="inlineStr">
        <is>
          <t>Nevěsta</t>
        </is>
      </c>
      <c r="C9" s="24" t="inlineStr">
        <is>
          <t>Rodina</t>
        </is>
      </c>
      <c r="D9" s="25" t="n">
        <v>3</v>
      </c>
      <c r="E9" s="25" t="n">
        <v>1</v>
      </c>
      <c r="F9" s="24" t="inlineStr">
        <is>
          <t>Obřad a hostina</t>
        </is>
      </c>
      <c r="G9" s="27" t="inlineStr">
        <is>
          <t>Ano</t>
        </is>
      </c>
      <c r="H9" s="27" t="inlineStr">
        <is>
          <t>Potvrzeno</t>
        </is>
      </c>
      <c r="I9" s="24" t="inlineStr">
        <is>
          <t>Bez omezení</t>
        </is>
      </c>
      <c r="J9" s="27" t="inlineStr">
        <is>
          <t>Ne</t>
        </is>
      </c>
      <c r="K9" s="25" t="n">
        <v>2</v>
      </c>
      <c r="L9" s="24" t="n"/>
      <c r="M9" s="24" t="n"/>
    </row>
    <row r="10">
      <c r="A10" s="24" t="inlineStr">
        <is>
          <t>Děda Karel Svoboda</t>
        </is>
      </c>
      <c r="B10" s="24" t="inlineStr">
        <is>
          <t>Ženich</t>
        </is>
      </c>
      <c r="C10" s="24" t="inlineStr">
        <is>
          <t>Rodina</t>
        </is>
      </c>
      <c r="D10" s="25" t="n">
        <v>1</v>
      </c>
      <c r="E10" s="25" t="n">
        <v>0</v>
      </c>
      <c r="F10" s="24" t="inlineStr">
        <is>
          <t>Obřad a hostina</t>
        </is>
      </c>
      <c r="G10" s="27" t="inlineStr">
        <is>
          <t>Ano</t>
        </is>
      </c>
      <c r="H10" s="27" t="inlineStr">
        <is>
          <t>Potvrzeno</t>
        </is>
      </c>
      <c r="I10" s="24" t="inlineStr">
        <is>
          <t>Bez omezení</t>
        </is>
      </c>
      <c r="J10" s="27" t="inlineStr">
        <is>
          <t>Ano</t>
        </is>
      </c>
      <c r="K10" s="25" t="n">
        <v>3</v>
      </c>
      <c r="L10" s="24" t="n"/>
      <c r="M10" s="24" t="n"/>
    </row>
    <row r="11">
      <c r="A11" s="24" t="inlineStr">
        <is>
          <t>Lucie a Martin Svobodovi</t>
        </is>
      </c>
      <c r="B11" s="24" t="inlineStr">
        <is>
          <t>Ženich</t>
        </is>
      </c>
      <c r="C11" s="24" t="inlineStr">
        <is>
          <t>Rodina</t>
        </is>
      </c>
      <c r="D11" s="25" t="n">
        <v>2</v>
      </c>
      <c r="E11" s="25" t="n">
        <v>0</v>
      </c>
      <c r="F11" s="24" t="inlineStr">
        <is>
          <t>Obřad a hostina</t>
        </is>
      </c>
      <c r="G11" s="27" t="inlineStr">
        <is>
          <t>Ano</t>
        </is>
      </c>
      <c r="H11" s="27" t="inlineStr">
        <is>
          <t>Potvrzeno</t>
        </is>
      </c>
      <c r="I11" s="24" t="inlineStr">
        <is>
          <t>Vegetarián</t>
        </is>
      </c>
      <c r="J11" s="27" t="inlineStr">
        <is>
          <t>Ano</t>
        </is>
      </c>
      <c r="K11" s="25" t="n">
        <v>3</v>
      </c>
      <c r="L11" s="24" t="n"/>
      <c r="M11" s="24" t="n"/>
    </row>
    <row r="12">
      <c r="A12" s="24" t="inlineStr">
        <is>
          <t>Kateřina Dvořáková</t>
        </is>
      </c>
      <c r="B12" s="24" t="inlineStr">
        <is>
          <t>Ženich</t>
        </is>
      </c>
      <c r="C12" s="24" t="inlineStr">
        <is>
          <t>Rodina</t>
        </is>
      </c>
      <c r="D12" s="25" t="n">
        <v>2</v>
      </c>
      <c r="E12" s="25" t="n">
        <v>0</v>
      </c>
      <c r="F12" s="24" t="inlineStr">
        <is>
          <t>Obřad a hostina</t>
        </is>
      </c>
      <c r="G12" s="27" t="inlineStr">
        <is>
          <t>Ano</t>
        </is>
      </c>
      <c r="H12" s="27" t="inlineStr">
        <is>
          <t>Čeká</t>
        </is>
      </c>
      <c r="I12" s="24" t="n"/>
      <c r="J12" s="27" t="inlineStr">
        <is>
          <t>Ne</t>
        </is>
      </c>
      <c r="K12" s="25" t="n">
        <v>3</v>
      </c>
      <c r="L12" s="24" t="n"/>
      <c r="M12" s="24" t="n"/>
    </row>
    <row r="13">
      <c r="A13" s="24" t="inlineStr">
        <is>
          <t>Tereza Malá</t>
        </is>
      </c>
      <c r="B13" s="24" t="inlineStr">
        <is>
          <t>Nevěsta</t>
        </is>
      </c>
      <c r="C13" s="24" t="inlineStr">
        <is>
          <t>Přátelé</t>
        </is>
      </c>
      <c r="D13" s="25" t="n">
        <v>2</v>
      </c>
      <c r="E13" s="25" t="n">
        <v>0</v>
      </c>
      <c r="F13" s="24" t="inlineStr">
        <is>
          <t>Obřad a hostina</t>
        </is>
      </c>
      <c r="G13" s="27" t="inlineStr">
        <is>
          <t>Ano</t>
        </is>
      </c>
      <c r="H13" s="27" t="inlineStr">
        <is>
          <t>Potvrzeno</t>
        </is>
      </c>
      <c r="I13" s="24" t="inlineStr">
        <is>
          <t>Vegan</t>
        </is>
      </c>
      <c r="J13" s="27" t="inlineStr">
        <is>
          <t>Ano</t>
        </is>
      </c>
      <c r="K13" s="25" t="n">
        <v>4</v>
      </c>
      <c r="L13" s="24" t="n"/>
      <c r="M13" s="24" t="n"/>
    </row>
    <row r="14">
      <c r="A14" s="24" t="inlineStr">
        <is>
          <t>Barbora Černá</t>
        </is>
      </c>
      <c r="B14" s="24" t="inlineStr">
        <is>
          <t>Nevěsta</t>
        </is>
      </c>
      <c r="C14" s="24" t="inlineStr">
        <is>
          <t>Přátelé</t>
        </is>
      </c>
      <c r="D14" s="25" t="n">
        <v>2</v>
      </c>
      <c r="E14" s="25" t="n">
        <v>0</v>
      </c>
      <c r="F14" s="24" t="inlineStr">
        <is>
          <t>Obřad a hostina</t>
        </is>
      </c>
      <c r="G14" s="27" t="inlineStr">
        <is>
          <t>Ano</t>
        </is>
      </c>
      <c r="H14" s="27" t="inlineStr">
        <is>
          <t>Potvrzeno</t>
        </is>
      </c>
      <c r="I14" s="24" t="inlineStr">
        <is>
          <t>Bez omezení</t>
        </is>
      </c>
      <c r="J14" s="27" t="inlineStr">
        <is>
          <t>Ano</t>
        </is>
      </c>
      <c r="K14" s="25" t="n">
        <v>4</v>
      </c>
      <c r="L14" s="24" t="n"/>
      <c r="M14" s="24" t="n"/>
    </row>
    <row r="15">
      <c r="A15" s="24" t="inlineStr">
        <is>
          <t>Klára Veselá</t>
        </is>
      </c>
      <c r="B15" s="24" t="inlineStr">
        <is>
          <t>Nevěsta</t>
        </is>
      </c>
      <c r="C15" s="24" t="inlineStr">
        <is>
          <t>Přátelé</t>
        </is>
      </c>
      <c r="D15" s="25" t="n">
        <v>1</v>
      </c>
      <c r="E15" s="25" t="n">
        <v>0</v>
      </c>
      <c r="F15" s="24" t="inlineStr">
        <is>
          <t>Obřad a hostina</t>
        </is>
      </c>
      <c r="G15" s="27" t="inlineStr">
        <is>
          <t>Ano</t>
        </is>
      </c>
      <c r="H15" s="27" t="inlineStr">
        <is>
          <t>Čeká</t>
        </is>
      </c>
      <c r="I15" s="24" t="n"/>
      <c r="J15" s="27" t="inlineStr">
        <is>
          <t>Ne</t>
        </is>
      </c>
      <c r="K15" s="25" t="n">
        <v>4</v>
      </c>
      <c r="L15" s="24" t="n"/>
      <c r="M15" s="24" t="n"/>
    </row>
    <row r="16">
      <c r="A16" s="24" t="inlineStr">
        <is>
          <t>Ondřej Král</t>
        </is>
      </c>
      <c r="B16" s="24" t="inlineStr">
        <is>
          <t>Ženich</t>
        </is>
      </c>
      <c r="C16" s="24" t="inlineStr">
        <is>
          <t>Přátelé</t>
        </is>
      </c>
      <c r="D16" s="25" t="n">
        <v>2</v>
      </c>
      <c r="E16" s="25" t="n">
        <v>0</v>
      </c>
      <c r="F16" s="24" t="inlineStr">
        <is>
          <t>Obřad a hostina</t>
        </is>
      </c>
      <c r="G16" s="27" t="inlineStr">
        <is>
          <t>Ano</t>
        </is>
      </c>
      <c r="H16" s="27" t="inlineStr">
        <is>
          <t>Potvrzeno</t>
        </is>
      </c>
      <c r="I16" s="24" t="inlineStr">
        <is>
          <t>Bez omezení</t>
        </is>
      </c>
      <c r="J16" s="27" t="inlineStr">
        <is>
          <t>Ano</t>
        </is>
      </c>
      <c r="K16" s="25" t="n">
        <v>5</v>
      </c>
      <c r="L16" s="24" t="n"/>
      <c r="M16" s="24" t="n"/>
    </row>
    <row r="17">
      <c r="A17" s="24" t="inlineStr">
        <is>
          <t>Jakub Beneš</t>
        </is>
      </c>
      <c r="B17" s="24" t="inlineStr">
        <is>
          <t>Ženich</t>
        </is>
      </c>
      <c r="C17" s="24" t="inlineStr">
        <is>
          <t>Přátelé</t>
        </is>
      </c>
      <c r="D17" s="25" t="n">
        <v>1</v>
      </c>
      <c r="E17" s="25" t="n">
        <v>0</v>
      </c>
      <c r="F17" s="24" t="inlineStr">
        <is>
          <t>Obřad a hostina</t>
        </is>
      </c>
      <c r="G17" s="27" t="inlineStr">
        <is>
          <t>Ano</t>
        </is>
      </c>
      <c r="H17" s="27" t="inlineStr">
        <is>
          <t>Potvrzeno</t>
        </is>
      </c>
      <c r="I17" s="24" t="inlineStr">
        <is>
          <t>Bez omezení</t>
        </is>
      </c>
      <c r="J17" s="27" t="inlineStr">
        <is>
          <t>Ano</t>
        </is>
      </c>
      <c r="K17" s="25" t="n">
        <v>5</v>
      </c>
      <c r="L17" s="24" t="n"/>
      <c r="M17" s="24" t="n"/>
    </row>
    <row r="18">
      <c r="A18" s="24" t="inlineStr">
        <is>
          <t>Michal Pokorný</t>
        </is>
      </c>
      <c r="B18" s="24" t="inlineStr">
        <is>
          <t>Ženich</t>
        </is>
      </c>
      <c r="C18" s="24" t="inlineStr">
        <is>
          <t>Přátelé</t>
        </is>
      </c>
      <c r="D18" s="25" t="n">
        <v>2</v>
      </c>
      <c r="E18" s="25" t="n">
        <v>0</v>
      </c>
      <c r="F18" s="24" t="inlineStr">
        <is>
          <t>Obřad a hostina</t>
        </is>
      </c>
      <c r="G18" s="27" t="inlineStr">
        <is>
          <t>Ano</t>
        </is>
      </c>
      <c r="H18" s="27" t="inlineStr">
        <is>
          <t>Odmítnuto</t>
        </is>
      </c>
      <c r="I18" s="24" t="n"/>
      <c r="J18" s="27" t="inlineStr">
        <is>
          <t>Ne</t>
        </is>
      </c>
      <c r="K18" s="25" t="n"/>
      <c r="L18" s="24" t="n"/>
      <c r="M18" s="24" t="n"/>
    </row>
    <row r="19">
      <c r="A19" s="24" t="inlineStr">
        <is>
          <t>Adam a Nela Růžičkovi</t>
        </is>
      </c>
      <c r="B19" s="24" t="inlineStr">
        <is>
          <t>Společní</t>
        </is>
      </c>
      <c r="C19" s="24" t="inlineStr">
        <is>
          <t>Přátelé</t>
        </is>
      </c>
      <c r="D19" s="25" t="n">
        <v>2</v>
      </c>
      <c r="E19" s="25" t="n">
        <v>0</v>
      </c>
      <c r="F19" s="24" t="inlineStr">
        <is>
          <t>Obřad a hostina</t>
        </is>
      </c>
      <c r="G19" s="27" t="inlineStr">
        <is>
          <t>Ano</t>
        </is>
      </c>
      <c r="H19" s="27" t="inlineStr">
        <is>
          <t>Potvrzeno</t>
        </is>
      </c>
      <c r="I19" s="24" t="inlineStr">
        <is>
          <t>Bez laktózy</t>
        </is>
      </c>
      <c r="J19" s="27" t="inlineStr">
        <is>
          <t>Ne</t>
        </is>
      </c>
      <c r="K19" s="25" t="n">
        <v>5</v>
      </c>
      <c r="L19" s="24" t="n"/>
      <c r="M19" s="24" t="n"/>
    </row>
    <row r="20">
      <c r="A20" s="24" t="inlineStr">
        <is>
          <t>Šárka Kučerová</t>
        </is>
      </c>
      <c r="B20" s="24" t="inlineStr">
        <is>
          <t>Nevěsta</t>
        </is>
      </c>
      <c r="C20" s="24" t="inlineStr">
        <is>
          <t>Kolegové</t>
        </is>
      </c>
      <c r="D20" s="25" t="n">
        <v>1</v>
      </c>
      <c r="E20" s="25" t="n">
        <v>0</v>
      </c>
      <c r="F20" s="24" t="inlineStr">
        <is>
          <t>Jen večer</t>
        </is>
      </c>
      <c r="G20" s="27" t="inlineStr">
        <is>
          <t>Ano</t>
        </is>
      </c>
      <c r="H20" s="27" t="inlineStr">
        <is>
          <t>Potvrzeno</t>
        </is>
      </c>
      <c r="I20" s="24" t="inlineStr">
        <is>
          <t>Bez omezení</t>
        </is>
      </c>
      <c r="J20" s="27" t="inlineStr">
        <is>
          <t>Ne</t>
        </is>
      </c>
      <c r="K20" s="25" t="n">
        <v>6</v>
      </c>
      <c r="L20" s="24" t="n"/>
      <c r="M20" s="24" t="n"/>
    </row>
    <row r="21">
      <c r="A21" s="24" t="inlineStr">
        <is>
          <t>Filip Marek</t>
        </is>
      </c>
      <c r="B21" s="24" t="inlineStr">
        <is>
          <t>Ženich</t>
        </is>
      </c>
      <c r="C21" s="24" t="inlineStr">
        <is>
          <t>Kolegové</t>
        </is>
      </c>
      <c r="D21" s="25" t="n">
        <v>2</v>
      </c>
      <c r="E21" s="25" t="n">
        <v>0</v>
      </c>
      <c r="F21" s="24" t="inlineStr">
        <is>
          <t>Jen večer</t>
        </is>
      </c>
      <c r="G21" s="27" t="inlineStr">
        <is>
          <t>Ano</t>
        </is>
      </c>
      <c r="H21" s="27" t="inlineStr">
        <is>
          <t>Čeká</t>
        </is>
      </c>
      <c r="I21" s="24" t="n"/>
      <c r="J21" s="27" t="inlineStr">
        <is>
          <t>Ne</t>
        </is>
      </c>
      <c r="K21" s="25" t="n"/>
      <c r="L21" s="24" t="n"/>
      <c r="M21" s="24" t="n"/>
    </row>
    <row r="22">
      <c r="A22" s="24" t="inlineStr">
        <is>
          <t>Tým z práce (Ženich)</t>
        </is>
      </c>
      <c r="B22" s="24" t="inlineStr">
        <is>
          <t>Ženich</t>
        </is>
      </c>
      <c r="C22" s="24" t="inlineStr">
        <is>
          <t>Kolegové</t>
        </is>
      </c>
      <c r="D22" s="25" t="n">
        <v>4</v>
      </c>
      <c r="E22" s="25" t="n">
        <v>0</v>
      </c>
      <c r="F22" s="24" t="inlineStr">
        <is>
          <t>Jen večer</t>
        </is>
      </c>
      <c r="G22" s="27" t="inlineStr">
        <is>
          <t>Ne</t>
        </is>
      </c>
      <c r="H22" s="27" t="n"/>
      <c r="I22" s="24" t="n"/>
      <c r="J22" s="27" t="inlineStr">
        <is>
          <t>Ne</t>
        </is>
      </c>
      <c r="K22" s="25" t="n"/>
      <c r="L22" s="24" t="n"/>
      <c r="M22" s="24" t="n"/>
    </row>
    <row r="23">
      <c r="A23" s="24" t="inlineStr">
        <is>
          <t>Sousedé Procházkovi</t>
        </is>
      </c>
      <c r="B23" s="24" t="inlineStr">
        <is>
          <t>Nevěsta</t>
        </is>
      </c>
      <c r="C23" s="24" t="inlineStr">
        <is>
          <t>Ostatní</t>
        </is>
      </c>
      <c r="D23" s="25" t="n">
        <v>2</v>
      </c>
      <c r="E23" s="25" t="n">
        <v>0</v>
      </c>
      <c r="F23" s="24" t="inlineStr">
        <is>
          <t>Jen oznámení</t>
        </is>
      </c>
      <c r="G23" s="27" t="inlineStr">
        <is>
          <t>Ano</t>
        </is>
      </c>
      <c r="H23" s="27" t="n"/>
      <c r="I23" s="24" t="n"/>
      <c r="J23" s="27" t="inlineStr">
        <is>
          <t>Ne</t>
        </is>
      </c>
      <c r="K23" s="25" t="n"/>
      <c r="L23" s="24" t="n"/>
      <c r="M23" s="24" t="n"/>
    </row>
    <row r="24">
      <c r="A24" s="24" t="inlineStr">
        <is>
          <t>Paní učitelka Hájková</t>
        </is>
      </c>
      <c r="B24" s="24" t="inlineStr">
        <is>
          <t>Nevěsta</t>
        </is>
      </c>
      <c r="C24" s="24" t="inlineStr">
        <is>
          <t>Ostatní</t>
        </is>
      </c>
      <c r="D24" s="25" t="n">
        <v>1</v>
      </c>
      <c r="E24" s="25" t="n">
        <v>0</v>
      </c>
      <c r="F24" s="24" t="inlineStr">
        <is>
          <t>Jen oznámení</t>
        </is>
      </c>
      <c r="G24" s="27" t="inlineStr">
        <is>
          <t>Ne</t>
        </is>
      </c>
      <c r="H24" s="27" t="n"/>
      <c r="I24" s="24" t="n"/>
      <c r="J24" s="27" t="inlineStr">
        <is>
          <t>Ne</t>
        </is>
      </c>
      <c r="K24" s="25" t="n"/>
      <c r="L24" s="24" t="n"/>
      <c r="M24" s="24" t="n"/>
    </row>
    <row r="25">
      <c r="A25" s="24" t="n"/>
      <c r="B25" s="24" t="n"/>
      <c r="C25" s="24" t="n"/>
      <c r="D25" s="25" t="n"/>
      <c r="E25" s="25" t="n"/>
      <c r="F25" s="24" t="n"/>
      <c r="G25" s="27" t="n"/>
      <c r="H25" s="27" t="n"/>
      <c r="I25" s="24" t="n"/>
      <c r="J25" s="27" t="n"/>
      <c r="K25" s="25" t="n"/>
      <c r="L25" s="24" t="n"/>
      <c r="M25" s="24" t="n"/>
    </row>
    <row r="26">
      <c r="A26" s="24" t="n"/>
      <c r="B26" s="24" t="n"/>
      <c r="C26" s="24" t="n"/>
      <c r="D26" s="25" t="n"/>
      <c r="E26" s="25" t="n"/>
      <c r="F26" s="24" t="n"/>
      <c r="G26" s="27" t="n"/>
      <c r="H26" s="27" t="n"/>
      <c r="I26" s="24" t="n"/>
      <c r="J26" s="27" t="n"/>
      <c r="K26" s="25" t="n"/>
      <c r="L26" s="24" t="n"/>
      <c r="M26" s="24" t="n"/>
    </row>
    <row r="27">
      <c r="A27" s="24" t="n"/>
      <c r="B27" s="24" t="n"/>
      <c r="C27" s="24" t="n"/>
      <c r="D27" s="25" t="n"/>
      <c r="E27" s="25" t="n"/>
      <c r="F27" s="24" t="n"/>
      <c r="G27" s="27" t="n"/>
      <c r="H27" s="27" t="n"/>
      <c r="I27" s="24" t="n"/>
      <c r="J27" s="27" t="n"/>
      <c r="K27" s="25" t="n"/>
      <c r="L27" s="24" t="n"/>
      <c r="M27" s="24" t="n"/>
    </row>
    <row r="28">
      <c r="A28" s="24" t="n"/>
      <c r="B28" s="24" t="n"/>
      <c r="C28" s="24" t="n"/>
      <c r="D28" s="25" t="n"/>
      <c r="E28" s="25" t="n"/>
      <c r="F28" s="24" t="n"/>
      <c r="G28" s="27" t="n"/>
      <c r="H28" s="27" t="n"/>
      <c r="I28" s="24" t="n"/>
      <c r="J28" s="27" t="n"/>
      <c r="K28" s="25" t="n"/>
      <c r="L28" s="24" t="n"/>
      <c r="M28" s="24" t="n"/>
    </row>
    <row r="29">
      <c r="A29" s="24" t="n"/>
      <c r="B29" s="24" t="n"/>
      <c r="C29" s="24" t="n"/>
      <c r="D29" s="25" t="n"/>
      <c r="E29" s="25" t="n"/>
      <c r="F29" s="24" t="n"/>
      <c r="G29" s="27" t="n"/>
      <c r="H29" s="27" t="n"/>
      <c r="I29" s="24" t="n"/>
      <c r="J29" s="27" t="n"/>
      <c r="K29" s="25" t="n"/>
      <c r="L29" s="24" t="n"/>
      <c r="M29" s="24" t="n"/>
    </row>
    <row r="30">
      <c r="A30" s="24" t="n"/>
      <c r="B30" s="24" t="n"/>
      <c r="C30" s="24" t="n"/>
      <c r="D30" s="25" t="n"/>
      <c r="E30" s="25" t="n"/>
      <c r="F30" s="24" t="n"/>
      <c r="G30" s="27" t="n"/>
      <c r="H30" s="27" t="n"/>
      <c r="I30" s="24" t="n"/>
      <c r="J30" s="27" t="n"/>
      <c r="K30" s="25" t="n"/>
      <c r="L30" s="24" t="n"/>
      <c r="M30" s="24" t="n"/>
    </row>
    <row r="31">
      <c r="A31" s="24" t="n"/>
      <c r="B31" s="24" t="n"/>
      <c r="C31" s="24" t="n"/>
      <c r="D31" s="25" t="n"/>
      <c r="E31" s="25" t="n"/>
      <c r="F31" s="24" t="n"/>
      <c r="G31" s="27" t="n"/>
      <c r="H31" s="27" t="n"/>
      <c r="I31" s="24" t="n"/>
      <c r="J31" s="27" t="n"/>
      <c r="K31" s="25" t="n"/>
      <c r="L31" s="24" t="n"/>
      <c r="M31" s="24" t="n"/>
    </row>
    <row r="32">
      <c r="A32" s="24" t="n"/>
      <c r="B32" s="24" t="n"/>
      <c r="C32" s="24" t="n"/>
      <c r="D32" s="25" t="n"/>
      <c r="E32" s="25" t="n"/>
      <c r="F32" s="24" t="n"/>
      <c r="G32" s="27" t="n"/>
      <c r="H32" s="27" t="n"/>
      <c r="I32" s="24" t="n"/>
      <c r="J32" s="27" t="n"/>
      <c r="K32" s="25" t="n"/>
      <c r="L32" s="24" t="n"/>
      <c r="M32" s="24" t="n"/>
    </row>
    <row r="33">
      <c r="A33" s="24" t="n"/>
      <c r="B33" s="24" t="n"/>
      <c r="C33" s="24" t="n"/>
      <c r="D33" s="25" t="n"/>
      <c r="E33" s="25" t="n"/>
      <c r="F33" s="24" t="n"/>
      <c r="G33" s="27" t="n"/>
      <c r="H33" s="27" t="n"/>
      <c r="I33" s="24" t="n"/>
      <c r="J33" s="27" t="n"/>
      <c r="K33" s="25" t="n"/>
      <c r="L33" s="24" t="n"/>
      <c r="M33" s="24" t="n"/>
    </row>
    <row r="34">
      <c r="A34" s="24" t="n"/>
      <c r="B34" s="24" t="n"/>
      <c r="C34" s="24" t="n"/>
      <c r="D34" s="25" t="n"/>
      <c r="E34" s="25" t="n"/>
      <c r="F34" s="24" t="n"/>
      <c r="G34" s="27" t="n"/>
      <c r="H34" s="27" t="n"/>
      <c r="I34" s="24" t="n"/>
      <c r="J34" s="27" t="n"/>
      <c r="K34" s="25" t="n"/>
      <c r="L34" s="24" t="n"/>
      <c r="M34" s="24" t="n"/>
    </row>
    <row r="35">
      <c r="A35" s="24" t="n"/>
      <c r="B35" s="24" t="n"/>
      <c r="C35" s="24" t="n"/>
      <c r="D35" s="25" t="n"/>
      <c r="E35" s="25" t="n"/>
      <c r="F35" s="24" t="n"/>
      <c r="G35" s="27" t="n"/>
      <c r="H35" s="27" t="n"/>
      <c r="I35" s="24" t="n"/>
      <c r="J35" s="27" t="n"/>
      <c r="K35" s="25" t="n"/>
      <c r="L35" s="24" t="n"/>
      <c r="M35" s="24" t="n"/>
    </row>
    <row r="36">
      <c r="A36" s="24" t="n"/>
      <c r="B36" s="24" t="n"/>
      <c r="C36" s="24" t="n"/>
      <c r="D36" s="25" t="n"/>
      <c r="E36" s="25" t="n"/>
      <c r="F36" s="24" t="n"/>
      <c r="G36" s="27" t="n"/>
      <c r="H36" s="27" t="n"/>
      <c r="I36" s="24" t="n"/>
      <c r="J36" s="27" t="n"/>
      <c r="K36" s="25" t="n"/>
      <c r="L36" s="24" t="n"/>
      <c r="M36" s="24" t="n"/>
    </row>
    <row r="37">
      <c r="A37" s="24" t="n"/>
      <c r="B37" s="24" t="n"/>
      <c r="C37" s="24" t="n"/>
      <c r="D37" s="25" t="n"/>
      <c r="E37" s="25" t="n"/>
      <c r="F37" s="24" t="n"/>
      <c r="G37" s="27" t="n"/>
      <c r="H37" s="27" t="n"/>
      <c r="I37" s="24" t="n"/>
      <c r="J37" s="27" t="n"/>
      <c r="K37" s="25" t="n"/>
      <c r="L37" s="24" t="n"/>
      <c r="M37" s="24" t="n"/>
    </row>
    <row r="38">
      <c r="A38" s="24" t="n"/>
      <c r="B38" s="24" t="n"/>
      <c r="C38" s="24" t="n"/>
      <c r="D38" s="25" t="n"/>
      <c r="E38" s="25" t="n"/>
      <c r="F38" s="24" t="n"/>
      <c r="G38" s="27" t="n"/>
      <c r="H38" s="27" t="n"/>
      <c r="I38" s="24" t="n"/>
      <c r="J38" s="27" t="n"/>
      <c r="K38" s="25" t="n"/>
      <c r="L38" s="24" t="n"/>
      <c r="M38" s="24" t="n"/>
    </row>
    <row r="39">
      <c r="A39" s="24" t="n"/>
      <c r="B39" s="24" t="n"/>
      <c r="C39" s="24" t="n"/>
      <c r="D39" s="25" t="n"/>
      <c r="E39" s="25" t="n"/>
      <c r="F39" s="24" t="n"/>
      <c r="G39" s="27" t="n"/>
      <c r="H39" s="27" t="n"/>
      <c r="I39" s="24" t="n"/>
      <c r="J39" s="27" t="n"/>
      <c r="K39" s="25" t="n"/>
      <c r="L39" s="24" t="n"/>
      <c r="M39" s="24" t="n"/>
    </row>
    <row r="40">
      <c r="A40" s="24" t="n"/>
      <c r="B40" s="24" t="n"/>
      <c r="C40" s="24" t="n"/>
      <c r="D40" s="25" t="n"/>
      <c r="E40" s="25" t="n"/>
      <c r="F40" s="24" t="n"/>
      <c r="G40" s="27" t="n"/>
      <c r="H40" s="27" t="n"/>
      <c r="I40" s="24" t="n"/>
      <c r="J40" s="27" t="n"/>
      <c r="K40" s="25" t="n"/>
      <c r="L40" s="24" t="n"/>
      <c r="M40" s="24" t="n"/>
    </row>
    <row r="41">
      <c r="A41" s="24" t="n"/>
      <c r="B41" s="24" t="n"/>
      <c r="C41" s="24" t="n"/>
      <c r="D41" s="25" t="n"/>
      <c r="E41" s="25" t="n"/>
      <c r="F41" s="24" t="n"/>
      <c r="G41" s="27" t="n"/>
      <c r="H41" s="27" t="n"/>
      <c r="I41" s="24" t="n"/>
      <c r="J41" s="27" t="n"/>
      <c r="K41" s="25" t="n"/>
      <c r="L41" s="24" t="n"/>
      <c r="M41" s="24" t="n"/>
    </row>
    <row r="42">
      <c r="A42" s="24" t="n"/>
      <c r="B42" s="24" t="n"/>
      <c r="C42" s="24" t="n"/>
      <c r="D42" s="25" t="n"/>
      <c r="E42" s="25" t="n"/>
      <c r="F42" s="24" t="n"/>
      <c r="G42" s="27" t="n"/>
      <c r="H42" s="27" t="n"/>
      <c r="I42" s="24" t="n"/>
      <c r="J42" s="27" t="n"/>
      <c r="K42" s="25" t="n"/>
      <c r="L42" s="24" t="n"/>
      <c r="M42" s="24" t="n"/>
    </row>
    <row r="43">
      <c r="A43" s="24" t="n"/>
      <c r="B43" s="24" t="n"/>
      <c r="C43" s="24" t="n"/>
      <c r="D43" s="25" t="n"/>
      <c r="E43" s="25" t="n"/>
      <c r="F43" s="24" t="n"/>
      <c r="G43" s="27" t="n"/>
      <c r="H43" s="27" t="n"/>
      <c r="I43" s="24" t="n"/>
      <c r="J43" s="27" t="n"/>
      <c r="K43" s="25" t="n"/>
      <c r="L43" s="24" t="n"/>
      <c r="M43" s="24" t="n"/>
    </row>
    <row r="44">
      <c r="A44" s="24" t="n"/>
      <c r="B44" s="24" t="n"/>
      <c r="C44" s="24" t="n"/>
      <c r="D44" s="25" t="n"/>
      <c r="E44" s="25" t="n"/>
      <c r="F44" s="24" t="n"/>
      <c r="G44" s="27" t="n"/>
      <c r="H44" s="27" t="n"/>
      <c r="I44" s="24" t="n"/>
      <c r="J44" s="27" t="n"/>
      <c r="K44" s="25" t="n"/>
      <c r="L44" s="24" t="n"/>
      <c r="M44" s="24" t="n"/>
    </row>
    <row r="45">
      <c r="A45" s="24" t="n"/>
      <c r="B45" s="24" t="n"/>
      <c r="C45" s="24" t="n"/>
      <c r="D45" s="25" t="n"/>
      <c r="E45" s="25" t="n"/>
      <c r="F45" s="24" t="n"/>
      <c r="G45" s="27" t="n"/>
      <c r="H45" s="27" t="n"/>
      <c r="I45" s="24" t="n"/>
      <c r="J45" s="27" t="n"/>
      <c r="K45" s="25" t="n"/>
      <c r="L45" s="24" t="n"/>
      <c r="M45" s="24" t="n"/>
    </row>
    <row r="46">
      <c r="A46" s="24" t="n"/>
      <c r="B46" s="24" t="n"/>
      <c r="C46" s="24" t="n"/>
      <c r="D46" s="25" t="n"/>
      <c r="E46" s="25" t="n"/>
      <c r="F46" s="24" t="n"/>
      <c r="G46" s="27" t="n"/>
      <c r="H46" s="27" t="n"/>
      <c r="I46" s="24" t="n"/>
      <c r="J46" s="27" t="n"/>
      <c r="K46" s="25" t="n"/>
      <c r="L46" s="24" t="n"/>
      <c r="M46" s="24" t="n"/>
    </row>
    <row r="47">
      <c r="A47" s="24" t="n"/>
      <c r="B47" s="24" t="n"/>
      <c r="C47" s="24" t="n"/>
      <c r="D47" s="25" t="n"/>
      <c r="E47" s="25" t="n"/>
      <c r="F47" s="24" t="n"/>
      <c r="G47" s="27" t="n"/>
      <c r="H47" s="27" t="n"/>
      <c r="I47" s="24" t="n"/>
      <c r="J47" s="27" t="n"/>
      <c r="K47" s="25" t="n"/>
      <c r="L47" s="24" t="n"/>
      <c r="M47" s="24" t="n"/>
    </row>
    <row r="48">
      <c r="A48" s="24" t="n"/>
      <c r="B48" s="24" t="n"/>
      <c r="C48" s="24" t="n"/>
      <c r="D48" s="25" t="n"/>
      <c r="E48" s="25" t="n"/>
      <c r="F48" s="24" t="n"/>
      <c r="G48" s="27" t="n"/>
      <c r="H48" s="27" t="n"/>
      <c r="I48" s="24" t="n"/>
      <c r="J48" s="27" t="n"/>
      <c r="K48" s="25" t="n"/>
      <c r="L48" s="24" t="n"/>
      <c r="M48" s="24" t="n"/>
    </row>
    <row r="49">
      <c r="A49" s="24" t="n"/>
      <c r="B49" s="24" t="n"/>
      <c r="C49" s="24" t="n"/>
      <c r="D49" s="25" t="n"/>
      <c r="E49" s="25" t="n"/>
      <c r="F49" s="24" t="n"/>
      <c r="G49" s="27" t="n"/>
      <c r="H49" s="27" t="n"/>
      <c r="I49" s="24" t="n"/>
      <c r="J49" s="27" t="n"/>
      <c r="K49" s="25" t="n"/>
      <c r="L49" s="24" t="n"/>
      <c r="M49" s="24" t="n"/>
    </row>
    <row r="50">
      <c r="A50" s="24" t="n"/>
      <c r="B50" s="24" t="n"/>
      <c r="C50" s="24" t="n"/>
      <c r="D50" s="25" t="n"/>
      <c r="E50" s="25" t="n"/>
      <c r="F50" s="24" t="n"/>
      <c r="G50" s="27" t="n"/>
      <c r="H50" s="27" t="n"/>
      <c r="I50" s="24" t="n"/>
      <c r="J50" s="27" t="n"/>
      <c r="K50" s="25" t="n"/>
      <c r="L50" s="24" t="n"/>
      <c r="M50" s="24" t="n"/>
    </row>
    <row r="51">
      <c r="A51" s="24" t="n"/>
      <c r="B51" s="24" t="n"/>
      <c r="C51" s="24" t="n"/>
      <c r="D51" s="25" t="n"/>
      <c r="E51" s="25" t="n"/>
      <c r="F51" s="24" t="n"/>
      <c r="G51" s="27" t="n"/>
      <c r="H51" s="27" t="n"/>
      <c r="I51" s="24" t="n"/>
      <c r="J51" s="27" t="n"/>
      <c r="K51" s="25" t="n"/>
      <c r="L51" s="24" t="n"/>
      <c r="M51" s="24" t="n"/>
    </row>
    <row r="52">
      <c r="A52" s="24" t="n"/>
      <c r="B52" s="24" t="n"/>
      <c r="C52" s="24" t="n"/>
      <c r="D52" s="25" t="n"/>
      <c r="E52" s="25" t="n"/>
      <c r="F52" s="24" t="n"/>
      <c r="G52" s="27" t="n"/>
      <c r="H52" s="27" t="n"/>
      <c r="I52" s="24" t="n"/>
      <c r="J52" s="27" t="n"/>
      <c r="K52" s="25" t="n"/>
      <c r="L52" s="24" t="n"/>
      <c r="M52" s="24" t="n"/>
    </row>
    <row r="53">
      <c r="A53" s="24" t="n"/>
      <c r="B53" s="24" t="n"/>
      <c r="C53" s="24" t="n"/>
      <c r="D53" s="25" t="n"/>
      <c r="E53" s="25" t="n"/>
      <c r="F53" s="24" t="n"/>
      <c r="G53" s="27" t="n"/>
      <c r="H53" s="27" t="n"/>
      <c r="I53" s="24" t="n"/>
      <c r="J53" s="27" t="n"/>
      <c r="K53" s="25" t="n"/>
      <c r="L53" s="24" t="n"/>
      <c r="M53" s="24" t="n"/>
    </row>
    <row r="54">
      <c r="A54" s="24" t="n"/>
      <c r="B54" s="24" t="n"/>
      <c r="C54" s="24" t="n"/>
      <c r="D54" s="25" t="n"/>
      <c r="E54" s="25" t="n"/>
      <c r="F54" s="24" t="n"/>
      <c r="G54" s="27" t="n"/>
      <c r="H54" s="27" t="n"/>
      <c r="I54" s="24" t="n"/>
      <c r="J54" s="27" t="n"/>
      <c r="K54" s="25" t="n"/>
      <c r="L54" s="24" t="n"/>
      <c r="M54" s="24" t="n"/>
    </row>
    <row r="55">
      <c r="A55" s="24" t="n"/>
      <c r="B55" s="24" t="n"/>
      <c r="C55" s="24" t="n"/>
      <c r="D55" s="25" t="n"/>
      <c r="E55" s="25" t="n"/>
      <c r="F55" s="24" t="n"/>
      <c r="G55" s="27" t="n"/>
      <c r="H55" s="27" t="n"/>
      <c r="I55" s="24" t="n"/>
      <c r="J55" s="27" t="n"/>
      <c r="K55" s="25" t="n"/>
      <c r="L55" s="24" t="n"/>
      <c r="M55" s="24" t="n"/>
    </row>
    <row r="56">
      <c r="A56" s="24" t="n"/>
      <c r="B56" s="24" t="n"/>
      <c r="C56" s="24" t="n"/>
      <c r="D56" s="25" t="n"/>
      <c r="E56" s="25" t="n"/>
      <c r="F56" s="24" t="n"/>
      <c r="G56" s="27" t="n"/>
      <c r="H56" s="27" t="n"/>
      <c r="I56" s="24" t="n"/>
      <c r="J56" s="27" t="n"/>
      <c r="K56" s="25" t="n"/>
      <c r="L56" s="24" t="n"/>
      <c r="M56" s="24" t="n"/>
    </row>
    <row r="57">
      <c r="A57" s="24" t="n"/>
      <c r="B57" s="24" t="n"/>
      <c r="C57" s="24" t="n"/>
      <c r="D57" s="25" t="n"/>
      <c r="E57" s="25" t="n"/>
      <c r="F57" s="24" t="n"/>
      <c r="G57" s="27" t="n"/>
      <c r="H57" s="27" t="n"/>
      <c r="I57" s="24" t="n"/>
      <c r="J57" s="27" t="n"/>
      <c r="K57" s="25" t="n"/>
      <c r="L57" s="24" t="n"/>
      <c r="M57" s="24" t="n"/>
    </row>
    <row r="58">
      <c r="A58" s="24" t="n"/>
      <c r="B58" s="24" t="n"/>
      <c r="C58" s="24" t="n"/>
      <c r="D58" s="25" t="n"/>
      <c r="E58" s="25" t="n"/>
      <c r="F58" s="24" t="n"/>
      <c r="G58" s="27" t="n"/>
      <c r="H58" s="27" t="n"/>
      <c r="I58" s="24" t="n"/>
      <c r="J58" s="27" t="n"/>
      <c r="K58" s="25" t="n"/>
      <c r="L58" s="24" t="n"/>
      <c r="M58" s="24" t="n"/>
    </row>
    <row r="59">
      <c r="A59" s="24" t="n"/>
      <c r="B59" s="24" t="n"/>
      <c r="C59" s="24" t="n"/>
      <c r="D59" s="25" t="n"/>
      <c r="E59" s="25" t="n"/>
      <c r="F59" s="24" t="n"/>
      <c r="G59" s="27" t="n"/>
      <c r="H59" s="27" t="n"/>
      <c r="I59" s="24" t="n"/>
      <c r="J59" s="27" t="n"/>
      <c r="K59" s="25" t="n"/>
      <c r="L59" s="24" t="n"/>
      <c r="M59" s="24" t="n"/>
    </row>
    <row r="60">
      <c r="A60" s="24" t="n"/>
      <c r="B60" s="24" t="n"/>
      <c r="C60" s="24" t="n"/>
      <c r="D60" s="25" t="n"/>
      <c r="E60" s="25" t="n"/>
      <c r="F60" s="24" t="n"/>
      <c r="G60" s="27" t="n"/>
      <c r="H60" s="27" t="n"/>
      <c r="I60" s="24" t="n"/>
      <c r="J60" s="27" t="n"/>
      <c r="K60" s="25" t="n"/>
      <c r="L60" s="24" t="n"/>
      <c r="M60" s="24" t="n"/>
    </row>
    <row r="61">
      <c r="A61" s="24" t="n"/>
      <c r="B61" s="24" t="n"/>
      <c r="C61" s="24" t="n"/>
      <c r="D61" s="25" t="n"/>
      <c r="E61" s="25" t="n"/>
      <c r="F61" s="24" t="n"/>
      <c r="G61" s="27" t="n"/>
      <c r="H61" s="27" t="n"/>
      <c r="I61" s="24" t="n"/>
      <c r="J61" s="27" t="n"/>
      <c r="K61" s="25" t="n"/>
      <c r="L61" s="24" t="n"/>
      <c r="M61" s="24" t="n"/>
    </row>
    <row r="62">
      <c r="A62" s="24" t="n"/>
      <c r="B62" s="24" t="n"/>
      <c r="C62" s="24" t="n"/>
      <c r="D62" s="25" t="n"/>
      <c r="E62" s="25" t="n"/>
      <c r="F62" s="24" t="n"/>
      <c r="G62" s="27" t="n"/>
      <c r="H62" s="27" t="n"/>
      <c r="I62" s="24" t="n"/>
      <c r="J62" s="27" t="n"/>
      <c r="K62" s="25" t="n"/>
      <c r="L62" s="24" t="n"/>
      <c r="M62" s="24" t="n"/>
    </row>
    <row r="63">
      <c r="A63" s="24" t="n"/>
      <c r="B63" s="24" t="n"/>
      <c r="C63" s="24" t="n"/>
      <c r="D63" s="25" t="n"/>
      <c r="E63" s="25" t="n"/>
      <c r="F63" s="24" t="n"/>
      <c r="G63" s="27" t="n"/>
      <c r="H63" s="27" t="n"/>
      <c r="I63" s="24" t="n"/>
      <c r="J63" s="27" t="n"/>
      <c r="K63" s="25" t="n"/>
      <c r="L63" s="24" t="n"/>
      <c r="M63" s="24" t="n"/>
    </row>
    <row r="64">
      <c r="A64" s="24" t="n"/>
      <c r="B64" s="24" t="n"/>
      <c r="C64" s="24" t="n"/>
      <c r="D64" s="25" t="n"/>
      <c r="E64" s="25" t="n"/>
      <c r="F64" s="24" t="n"/>
      <c r="G64" s="27" t="n"/>
      <c r="H64" s="27" t="n"/>
      <c r="I64" s="24" t="n"/>
      <c r="J64" s="27" t="n"/>
      <c r="K64" s="25" t="n"/>
      <c r="L64" s="24" t="n"/>
      <c r="M64" s="24" t="n"/>
    </row>
    <row r="65">
      <c r="A65" s="24" t="n"/>
      <c r="B65" s="24" t="n"/>
      <c r="C65" s="24" t="n"/>
      <c r="D65" s="25" t="n"/>
      <c r="E65" s="25" t="n"/>
      <c r="F65" s="24" t="n"/>
      <c r="G65" s="27" t="n"/>
      <c r="H65" s="27" t="n"/>
      <c r="I65" s="24" t="n"/>
      <c r="J65" s="27" t="n"/>
      <c r="K65" s="25" t="n"/>
      <c r="L65" s="24" t="n"/>
      <c r="M65" s="24" t="n"/>
    </row>
    <row r="66">
      <c r="A66" s="24" t="n"/>
      <c r="B66" s="24" t="n"/>
      <c r="C66" s="24" t="n"/>
      <c r="D66" s="25" t="n"/>
      <c r="E66" s="25" t="n"/>
      <c r="F66" s="24" t="n"/>
      <c r="G66" s="27" t="n"/>
      <c r="H66" s="27" t="n"/>
      <c r="I66" s="24" t="n"/>
      <c r="J66" s="27" t="n"/>
      <c r="K66" s="25" t="n"/>
      <c r="L66" s="24" t="n"/>
      <c r="M66" s="24" t="n"/>
    </row>
    <row r="67">
      <c r="A67" s="24" t="n"/>
      <c r="B67" s="24" t="n"/>
      <c r="C67" s="24" t="n"/>
      <c r="D67" s="25" t="n"/>
      <c r="E67" s="25" t="n"/>
      <c r="F67" s="24" t="n"/>
      <c r="G67" s="27" t="n"/>
      <c r="H67" s="27" t="n"/>
      <c r="I67" s="24" t="n"/>
      <c r="J67" s="27" t="n"/>
      <c r="K67" s="25" t="n"/>
      <c r="L67" s="24" t="n"/>
      <c r="M67" s="24" t="n"/>
    </row>
    <row r="68">
      <c r="A68" s="24" t="n"/>
      <c r="B68" s="24" t="n"/>
      <c r="C68" s="24" t="n"/>
      <c r="D68" s="25" t="n"/>
      <c r="E68" s="25" t="n"/>
      <c r="F68" s="24" t="n"/>
      <c r="G68" s="27" t="n"/>
      <c r="H68" s="27" t="n"/>
      <c r="I68" s="24" t="n"/>
      <c r="J68" s="27" t="n"/>
      <c r="K68" s="25" t="n"/>
      <c r="L68" s="24" t="n"/>
      <c r="M68" s="24" t="n"/>
    </row>
    <row r="69">
      <c r="A69" s="24" t="n"/>
      <c r="B69" s="24" t="n"/>
      <c r="C69" s="24" t="n"/>
      <c r="D69" s="25" t="n"/>
      <c r="E69" s="25" t="n"/>
      <c r="F69" s="24" t="n"/>
      <c r="G69" s="27" t="n"/>
      <c r="H69" s="27" t="n"/>
      <c r="I69" s="24" t="n"/>
      <c r="J69" s="27" t="n"/>
      <c r="K69" s="25" t="n"/>
      <c r="L69" s="24" t="n"/>
      <c r="M69" s="24" t="n"/>
    </row>
    <row r="70">
      <c r="A70" s="24" t="n"/>
      <c r="B70" s="24" t="n"/>
      <c r="C70" s="24" t="n"/>
      <c r="D70" s="25" t="n"/>
      <c r="E70" s="25" t="n"/>
      <c r="F70" s="24" t="n"/>
      <c r="G70" s="27" t="n"/>
      <c r="H70" s="27" t="n"/>
      <c r="I70" s="24" t="n"/>
      <c r="J70" s="27" t="n"/>
      <c r="K70" s="25" t="n"/>
      <c r="L70" s="24" t="n"/>
      <c r="M70" s="24" t="n"/>
    </row>
    <row r="71">
      <c r="A71" s="24" t="n"/>
      <c r="B71" s="24" t="n"/>
      <c r="C71" s="24" t="n"/>
      <c r="D71" s="25" t="n"/>
      <c r="E71" s="25" t="n"/>
      <c r="F71" s="24" t="n"/>
      <c r="G71" s="27" t="n"/>
      <c r="H71" s="27" t="n"/>
      <c r="I71" s="24" t="n"/>
      <c r="J71" s="27" t="n"/>
      <c r="K71" s="25" t="n"/>
      <c r="L71" s="24" t="n"/>
      <c r="M71" s="24" t="n"/>
    </row>
    <row r="72">
      <c r="A72" s="24" t="n"/>
      <c r="B72" s="24" t="n"/>
      <c r="C72" s="24" t="n"/>
      <c r="D72" s="25" t="n"/>
      <c r="E72" s="25" t="n"/>
      <c r="F72" s="24" t="n"/>
      <c r="G72" s="27" t="n"/>
      <c r="H72" s="27" t="n"/>
      <c r="I72" s="24" t="n"/>
      <c r="J72" s="27" t="n"/>
      <c r="K72" s="25" t="n"/>
      <c r="L72" s="24" t="n"/>
      <c r="M72" s="24" t="n"/>
    </row>
    <row r="73">
      <c r="A73" s="24" t="n"/>
      <c r="B73" s="24" t="n"/>
      <c r="C73" s="24" t="n"/>
      <c r="D73" s="25" t="n"/>
      <c r="E73" s="25" t="n"/>
      <c r="F73" s="24" t="n"/>
      <c r="G73" s="27" t="n"/>
      <c r="H73" s="27" t="n"/>
      <c r="I73" s="24" t="n"/>
      <c r="J73" s="27" t="n"/>
      <c r="K73" s="25" t="n"/>
      <c r="L73" s="24" t="n"/>
      <c r="M73" s="24" t="n"/>
    </row>
    <row r="74">
      <c r="A74" s="24" t="n"/>
      <c r="B74" s="24" t="n"/>
      <c r="C74" s="24" t="n"/>
      <c r="D74" s="25" t="n"/>
      <c r="E74" s="25" t="n"/>
      <c r="F74" s="24" t="n"/>
      <c r="G74" s="27" t="n"/>
      <c r="H74" s="27" t="n"/>
      <c r="I74" s="24" t="n"/>
      <c r="J74" s="27" t="n"/>
      <c r="K74" s="25" t="n"/>
      <c r="L74" s="24" t="n"/>
      <c r="M74" s="24" t="n"/>
    </row>
    <row r="75">
      <c r="A75" s="24" t="n"/>
      <c r="B75" s="24" t="n"/>
      <c r="C75" s="24" t="n"/>
      <c r="D75" s="25" t="n"/>
      <c r="E75" s="25" t="n"/>
      <c r="F75" s="24" t="n"/>
      <c r="G75" s="27" t="n"/>
      <c r="H75" s="27" t="n"/>
      <c r="I75" s="24" t="n"/>
      <c r="J75" s="27" t="n"/>
      <c r="K75" s="25" t="n"/>
      <c r="L75" s="24" t="n"/>
      <c r="M75" s="24" t="n"/>
    </row>
    <row r="76">
      <c r="A76" s="24" t="n"/>
      <c r="B76" s="24" t="n"/>
      <c r="C76" s="24" t="n"/>
      <c r="D76" s="25" t="n"/>
      <c r="E76" s="25" t="n"/>
      <c r="F76" s="24" t="n"/>
      <c r="G76" s="27" t="n"/>
      <c r="H76" s="27" t="n"/>
      <c r="I76" s="24" t="n"/>
      <c r="J76" s="27" t="n"/>
      <c r="K76" s="25" t="n"/>
      <c r="L76" s="24" t="n"/>
      <c r="M76" s="24" t="n"/>
    </row>
    <row r="77">
      <c r="A77" s="24" t="n"/>
      <c r="B77" s="24" t="n"/>
      <c r="C77" s="24" t="n"/>
      <c r="D77" s="25" t="n"/>
      <c r="E77" s="25" t="n"/>
      <c r="F77" s="24" t="n"/>
      <c r="G77" s="27" t="n"/>
      <c r="H77" s="27" t="n"/>
      <c r="I77" s="24" t="n"/>
      <c r="J77" s="27" t="n"/>
      <c r="K77" s="25" t="n"/>
      <c r="L77" s="24" t="n"/>
      <c r="M77" s="24" t="n"/>
    </row>
    <row r="78">
      <c r="A78" s="24" t="n"/>
      <c r="B78" s="24" t="n"/>
      <c r="C78" s="24" t="n"/>
      <c r="D78" s="25" t="n"/>
      <c r="E78" s="25" t="n"/>
      <c r="F78" s="24" t="n"/>
      <c r="G78" s="27" t="n"/>
      <c r="H78" s="27" t="n"/>
      <c r="I78" s="24" t="n"/>
      <c r="J78" s="27" t="n"/>
      <c r="K78" s="25" t="n"/>
      <c r="L78" s="24" t="n"/>
      <c r="M78" s="24" t="n"/>
    </row>
    <row r="79">
      <c r="A79" s="24" t="n"/>
      <c r="B79" s="24" t="n"/>
      <c r="C79" s="24" t="n"/>
      <c r="D79" s="25" t="n"/>
      <c r="E79" s="25" t="n"/>
      <c r="F79" s="24" t="n"/>
      <c r="G79" s="27" t="n"/>
      <c r="H79" s="27" t="n"/>
      <c r="I79" s="24" t="n"/>
      <c r="J79" s="27" t="n"/>
      <c r="K79" s="25" t="n"/>
      <c r="L79" s="24" t="n"/>
      <c r="M79" s="24" t="n"/>
    </row>
    <row r="80">
      <c r="A80" s="24" t="n"/>
      <c r="B80" s="24" t="n"/>
      <c r="C80" s="24" t="n"/>
      <c r="D80" s="25" t="n"/>
      <c r="E80" s="25" t="n"/>
      <c r="F80" s="24" t="n"/>
      <c r="G80" s="27" t="n"/>
      <c r="H80" s="27" t="n"/>
      <c r="I80" s="24" t="n"/>
      <c r="J80" s="27" t="n"/>
      <c r="K80" s="25" t="n"/>
      <c r="L80" s="24" t="n"/>
      <c r="M80" s="24" t="n"/>
    </row>
    <row r="81">
      <c r="A81" s="24" t="n"/>
      <c r="B81" s="24" t="n"/>
      <c r="C81" s="24" t="n"/>
      <c r="D81" s="25" t="n"/>
      <c r="E81" s="25" t="n"/>
      <c r="F81" s="24" t="n"/>
      <c r="G81" s="27" t="n"/>
      <c r="H81" s="27" t="n"/>
      <c r="I81" s="24" t="n"/>
      <c r="J81" s="27" t="n"/>
      <c r="K81" s="25" t="n"/>
      <c r="L81" s="24" t="n"/>
      <c r="M81" s="24" t="n"/>
    </row>
    <row r="82">
      <c r="A82" s="24" t="n"/>
      <c r="B82" s="24" t="n"/>
      <c r="C82" s="24" t="n"/>
      <c r="D82" s="25" t="n"/>
      <c r="E82" s="25" t="n"/>
      <c r="F82" s="24" t="n"/>
      <c r="G82" s="27" t="n"/>
      <c r="H82" s="27" t="n"/>
      <c r="I82" s="24" t="n"/>
      <c r="J82" s="27" t="n"/>
      <c r="K82" s="25" t="n"/>
      <c r="L82" s="24" t="n"/>
      <c r="M82" s="24" t="n"/>
    </row>
    <row r="83">
      <c r="A83" s="24" t="n"/>
      <c r="B83" s="24" t="n"/>
      <c r="C83" s="24" t="n"/>
      <c r="D83" s="25" t="n"/>
      <c r="E83" s="25" t="n"/>
      <c r="F83" s="24" t="n"/>
      <c r="G83" s="27" t="n"/>
      <c r="H83" s="27" t="n"/>
      <c r="I83" s="24" t="n"/>
      <c r="J83" s="27" t="n"/>
      <c r="K83" s="25" t="n"/>
      <c r="L83" s="24" t="n"/>
      <c r="M83" s="24" t="n"/>
    </row>
    <row r="84">
      <c r="A84" s="24" t="n"/>
      <c r="B84" s="24" t="n"/>
      <c r="C84" s="24" t="n"/>
      <c r="D84" s="25" t="n"/>
      <c r="E84" s="25" t="n"/>
      <c r="F84" s="24" t="n"/>
      <c r="G84" s="27" t="n"/>
      <c r="H84" s="27" t="n"/>
      <c r="I84" s="24" t="n"/>
      <c r="J84" s="27" t="n"/>
      <c r="K84" s="25" t="n"/>
      <c r="L84" s="24" t="n"/>
      <c r="M84" s="24" t="n"/>
    </row>
    <row r="85">
      <c r="A85" s="24" t="n"/>
      <c r="B85" s="24" t="n"/>
      <c r="C85" s="24" t="n"/>
      <c r="D85" s="25" t="n"/>
      <c r="E85" s="25" t="n"/>
      <c r="F85" s="24" t="n"/>
      <c r="G85" s="27" t="n"/>
      <c r="H85" s="27" t="n"/>
      <c r="I85" s="24" t="n"/>
      <c r="J85" s="27" t="n"/>
      <c r="K85" s="25" t="n"/>
      <c r="L85" s="24" t="n"/>
      <c r="M85" s="24" t="n"/>
    </row>
    <row r="86">
      <c r="A86" s="24" t="n"/>
      <c r="B86" s="24" t="n"/>
      <c r="C86" s="24" t="n"/>
      <c r="D86" s="25" t="n"/>
      <c r="E86" s="25" t="n"/>
      <c r="F86" s="24" t="n"/>
      <c r="G86" s="27" t="n"/>
      <c r="H86" s="27" t="n"/>
      <c r="I86" s="24" t="n"/>
      <c r="J86" s="27" t="n"/>
      <c r="K86" s="25" t="n"/>
      <c r="L86" s="24" t="n"/>
      <c r="M86" s="24" t="n"/>
    </row>
    <row r="87">
      <c r="A87" s="24" t="n"/>
      <c r="B87" s="24" t="n"/>
      <c r="C87" s="24" t="n"/>
      <c r="D87" s="25" t="n"/>
      <c r="E87" s="25" t="n"/>
      <c r="F87" s="24" t="n"/>
      <c r="G87" s="27" t="n"/>
      <c r="H87" s="27" t="n"/>
      <c r="I87" s="24" t="n"/>
      <c r="J87" s="27" t="n"/>
      <c r="K87" s="25" t="n"/>
      <c r="L87" s="24" t="n"/>
      <c r="M87" s="24" t="n"/>
    </row>
    <row r="88">
      <c r="A88" s="24" t="n"/>
      <c r="B88" s="24" t="n"/>
      <c r="C88" s="24" t="n"/>
      <c r="D88" s="25" t="n"/>
      <c r="E88" s="25" t="n"/>
      <c r="F88" s="24" t="n"/>
      <c r="G88" s="27" t="n"/>
      <c r="H88" s="27" t="n"/>
      <c r="I88" s="24" t="n"/>
      <c r="J88" s="27" t="n"/>
      <c r="K88" s="25" t="n"/>
      <c r="L88" s="24" t="n"/>
      <c r="M88" s="24" t="n"/>
    </row>
    <row r="89">
      <c r="A89" s="24" t="n"/>
      <c r="B89" s="24" t="n"/>
      <c r="C89" s="24" t="n"/>
      <c r="D89" s="25" t="n"/>
      <c r="E89" s="25" t="n"/>
      <c r="F89" s="24" t="n"/>
      <c r="G89" s="27" t="n"/>
      <c r="H89" s="27" t="n"/>
      <c r="I89" s="24" t="n"/>
      <c r="J89" s="27" t="n"/>
      <c r="K89" s="25" t="n"/>
      <c r="L89" s="24" t="n"/>
      <c r="M89" s="24" t="n"/>
    </row>
    <row r="90">
      <c r="A90" s="24" t="n"/>
      <c r="B90" s="24" t="n"/>
      <c r="C90" s="24" t="n"/>
      <c r="D90" s="25" t="n"/>
      <c r="E90" s="25" t="n"/>
      <c r="F90" s="24" t="n"/>
      <c r="G90" s="27" t="n"/>
      <c r="H90" s="27" t="n"/>
      <c r="I90" s="24" t="n"/>
      <c r="J90" s="27" t="n"/>
      <c r="K90" s="25" t="n"/>
      <c r="L90" s="24" t="n"/>
      <c r="M90" s="24" t="n"/>
    </row>
    <row r="91">
      <c r="A91" s="24" t="n"/>
      <c r="B91" s="24" t="n"/>
      <c r="C91" s="24" t="n"/>
      <c r="D91" s="25" t="n"/>
      <c r="E91" s="25" t="n"/>
      <c r="F91" s="24" t="n"/>
      <c r="G91" s="27" t="n"/>
      <c r="H91" s="27" t="n"/>
      <c r="I91" s="24" t="n"/>
      <c r="J91" s="27" t="n"/>
      <c r="K91" s="25" t="n"/>
      <c r="L91" s="24" t="n"/>
      <c r="M91" s="24" t="n"/>
    </row>
    <row r="92">
      <c r="A92" s="24" t="n"/>
      <c r="B92" s="24" t="n"/>
      <c r="C92" s="24" t="n"/>
      <c r="D92" s="25" t="n"/>
      <c r="E92" s="25" t="n"/>
      <c r="F92" s="24" t="n"/>
      <c r="G92" s="27" t="n"/>
      <c r="H92" s="27" t="n"/>
      <c r="I92" s="24" t="n"/>
      <c r="J92" s="27" t="n"/>
      <c r="K92" s="25" t="n"/>
      <c r="L92" s="24" t="n"/>
      <c r="M92" s="24" t="n"/>
    </row>
    <row r="93">
      <c r="A93" s="24" t="n"/>
      <c r="B93" s="24" t="n"/>
      <c r="C93" s="24" t="n"/>
      <c r="D93" s="25" t="n"/>
      <c r="E93" s="25" t="n"/>
      <c r="F93" s="24" t="n"/>
      <c r="G93" s="27" t="n"/>
      <c r="H93" s="27" t="n"/>
      <c r="I93" s="24" t="n"/>
      <c r="J93" s="27" t="n"/>
      <c r="K93" s="25" t="n"/>
      <c r="L93" s="24" t="n"/>
      <c r="M93" s="24" t="n"/>
    </row>
    <row r="94">
      <c r="A94" s="24" t="n"/>
      <c r="B94" s="24" t="n"/>
      <c r="C94" s="24" t="n"/>
      <c r="D94" s="25" t="n"/>
      <c r="E94" s="25" t="n"/>
      <c r="F94" s="24" t="n"/>
      <c r="G94" s="27" t="n"/>
      <c r="H94" s="27" t="n"/>
      <c r="I94" s="24" t="n"/>
      <c r="J94" s="27" t="n"/>
      <c r="K94" s="25" t="n"/>
      <c r="L94" s="24" t="n"/>
      <c r="M94" s="24" t="n"/>
    </row>
    <row r="95">
      <c r="A95" s="24" t="n"/>
      <c r="B95" s="24" t="n"/>
      <c r="C95" s="24" t="n"/>
      <c r="D95" s="25" t="n"/>
      <c r="E95" s="25" t="n"/>
      <c r="F95" s="24" t="n"/>
      <c r="G95" s="27" t="n"/>
      <c r="H95" s="27" t="n"/>
      <c r="I95" s="24" t="n"/>
      <c r="J95" s="27" t="n"/>
      <c r="K95" s="25" t="n"/>
      <c r="L95" s="24" t="n"/>
      <c r="M95" s="24" t="n"/>
    </row>
    <row r="96">
      <c r="A96" s="24" t="n"/>
      <c r="B96" s="24" t="n"/>
      <c r="C96" s="24" t="n"/>
      <c r="D96" s="25" t="n"/>
      <c r="E96" s="25" t="n"/>
      <c r="F96" s="24" t="n"/>
      <c r="G96" s="27" t="n"/>
      <c r="H96" s="27" t="n"/>
      <c r="I96" s="24" t="n"/>
      <c r="J96" s="27" t="n"/>
      <c r="K96" s="25" t="n"/>
      <c r="L96" s="24" t="n"/>
      <c r="M96" s="24" t="n"/>
    </row>
    <row r="97">
      <c r="A97" s="24" t="n"/>
      <c r="B97" s="24" t="n"/>
      <c r="C97" s="24" t="n"/>
      <c r="D97" s="25" t="n"/>
      <c r="E97" s="25" t="n"/>
      <c r="F97" s="24" t="n"/>
      <c r="G97" s="27" t="n"/>
      <c r="H97" s="27" t="n"/>
      <c r="I97" s="24" t="n"/>
      <c r="J97" s="27" t="n"/>
      <c r="K97" s="25" t="n"/>
      <c r="L97" s="24" t="n"/>
      <c r="M97" s="24" t="n"/>
    </row>
    <row r="98">
      <c r="A98" s="24" t="n"/>
      <c r="B98" s="24" t="n"/>
      <c r="C98" s="24" t="n"/>
      <c r="D98" s="25" t="n"/>
      <c r="E98" s="25" t="n"/>
      <c r="F98" s="24" t="n"/>
      <c r="G98" s="27" t="n"/>
      <c r="H98" s="27" t="n"/>
      <c r="I98" s="24" t="n"/>
      <c r="J98" s="27" t="n"/>
      <c r="K98" s="25" t="n"/>
      <c r="L98" s="24" t="n"/>
      <c r="M98" s="24" t="n"/>
    </row>
    <row r="99">
      <c r="A99" s="24" t="n"/>
      <c r="B99" s="24" t="n"/>
      <c r="C99" s="24" t="n"/>
      <c r="D99" s="25" t="n"/>
      <c r="E99" s="25" t="n"/>
      <c r="F99" s="24" t="n"/>
      <c r="G99" s="27" t="n"/>
      <c r="H99" s="27" t="n"/>
      <c r="I99" s="24" t="n"/>
      <c r="J99" s="27" t="n"/>
      <c r="K99" s="25" t="n"/>
      <c r="L99" s="24" t="n"/>
      <c r="M99" s="24" t="n"/>
    </row>
    <row r="100">
      <c r="A100" s="24" t="n"/>
      <c r="B100" s="24" t="n"/>
      <c r="C100" s="24" t="n"/>
      <c r="D100" s="25" t="n"/>
      <c r="E100" s="25" t="n"/>
      <c r="F100" s="24" t="n"/>
      <c r="G100" s="27" t="n"/>
      <c r="H100" s="27" t="n"/>
      <c r="I100" s="24" t="n"/>
      <c r="J100" s="27" t="n"/>
      <c r="K100" s="25" t="n"/>
      <c r="L100" s="24" t="n"/>
      <c r="M100" s="24" t="n"/>
    </row>
    <row r="101">
      <c r="A101" s="24" t="n"/>
      <c r="B101" s="24" t="n"/>
      <c r="C101" s="24" t="n"/>
      <c r="D101" s="25" t="n"/>
      <c r="E101" s="25" t="n"/>
      <c r="F101" s="24" t="n"/>
      <c r="G101" s="27" t="n"/>
      <c r="H101" s="27" t="n"/>
      <c r="I101" s="24" t="n"/>
      <c r="J101" s="27" t="n"/>
      <c r="K101" s="25" t="n"/>
      <c r="L101" s="24" t="n"/>
      <c r="M101" s="24" t="n"/>
    </row>
    <row r="102">
      <c r="A102" s="24" t="n"/>
      <c r="B102" s="24" t="n"/>
      <c r="C102" s="24" t="n"/>
      <c r="D102" s="25" t="n"/>
      <c r="E102" s="25" t="n"/>
      <c r="F102" s="24" t="n"/>
      <c r="G102" s="27" t="n"/>
      <c r="H102" s="27" t="n"/>
      <c r="I102" s="24" t="n"/>
      <c r="J102" s="27" t="n"/>
      <c r="K102" s="25" t="n"/>
      <c r="L102" s="24" t="n"/>
      <c r="M102" s="24" t="n"/>
    </row>
    <row r="103">
      <c r="A103" s="24" t="n"/>
      <c r="B103" s="24" t="n"/>
      <c r="C103" s="24" t="n"/>
      <c r="D103" s="25" t="n"/>
      <c r="E103" s="25" t="n"/>
      <c r="F103" s="24" t="n"/>
      <c r="G103" s="27" t="n"/>
      <c r="H103" s="27" t="n"/>
      <c r="I103" s="24" t="n"/>
      <c r="J103" s="27" t="n"/>
      <c r="K103" s="25" t="n"/>
      <c r="L103" s="24" t="n"/>
      <c r="M103" s="24" t="n"/>
    </row>
    <row r="104">
      <c r="A104" s="24" t="n"/>
      <c r="B104" s="24" t="n"/>
      <c r="C104" s="24" t="n"/>
      <c r="D104" s="25" t="n"/>
      <c r="E104" s="25" t="n"/>
      <c r="F104" s="24" t="n"/>
      <c r="G104" s="27" t="n"/>
      <c r="H104" s="27" t="n"/>
      <c r="I104" s="24" t="n"/>
      <c r="J104" s="27" t="n"/>
      <c r="K104" s="25" t="n"/>
      <c r="L104" s="24" t="n"/>
      <c r="M104" s="24" t="n"/>
    </row>
    <row r="105">
      <c r="A105" s="24" t="n"/>
      <c r="B105" s="24" t="n"/>
      <c r="C105" s="24" t="n"/>
      <c r="D105" s="25" t="n"/>
      <c r="E105" s="25" t="n"/>
      <c r="F105" s="24" t="n"/>
      <c r="G105" s="27" t="n"/>
      <c r="H105" s="27" t="n"/>
      <c r="I105" s="24" t="n"/>
      <c r="J105" s="27" t="n"/>
      <c r="K105" s="25" t="n"/>
      <c r="L105" s="24" t="n"/>
      <c r="M105" s="24" t="n"/>
    </row>
    <row r="106">
      <c r="A106" s="24" t="n"/>
      <c r="B106" s="24" t="n"/>
      <c r="C106" s="24" t="n"/>
      <c r="D106" s="25" t="n"/>
      <c r="E106" s="25" t="n"/>
      <c r="F106" s="24" t="n"/>
      <c r="G106" s="27" t="n"/>
      <c r="H106" s="27" t="n"/>
      <c r="I106" s="24" t="n"/>
      <c r="J106" s="27" t="n"/>
      <c r="K106" s="25" t="n"/>
      <c r="L106" s="24" t="n"/>
      <c r="M106" s="24" t="n"/>
    </row>
    <row r="107">
      <c r="A107" s="24" t="n"/>
      <c r="B107" s="24" t="n"/>
      <c r="C107" s="24" t="n"/>
      <c r="D107" s="25" t="n"/>
      <c r="E107" s="25" t="n"/>
      <c r="F107" s="24" t="n"/>
      <c r="G107" s="27" t="n"/>
      <c r="H107" s="27" t="n"/>
      <c r="I107" s="24" t="n"/>
      <c r="J107" s="27" t="n"/>
      <c r="K107" s="25" t="n"/>
      <c r="L107" s="24" t="n"/>
      <c r="M107" s="24" t="n"/>
    </row>
    <row r="108">
      <c r="A108" s="24" t="n"/>
      <c r="B108" s="24" t="n"/>
      <c r="C108" s="24" t="n"/>
      <c r="D108" s="25" t="n"/>
      <c r="E108" s="25" t="n"/>
      <c r="F108" s="24" t="n"/>
      <c r="G108" s="27" t="n"/>
      <c r="H108" s="27" t="n"/>
      <c r="I108" s="24" t="n"/>
      <c r="J108" s="27" t="n"/>
      <c r="K108" s="25" t="n"/>
      <c r="L108" s="24" t="n"/>
      <c r="M108" s="24" t="n"/>
    </row>
    <row r="109">
      <c r="A109" s="24" t="n"/>
      <c r="B109" s="24" t="n"/>
      <c r="C109" s="24" t="n"/>
      <c r="D109" s="25" t="n"/>
      <c r="E109" s="25" t="n"/>
      <c r="F109" s="24" t="n"/>
      <c r="G109" s="27" t="n"/>
      <c r="H109" s="27" t="n"/>
      <c r="I109" s="24" t="n"/>
      <c r="J109" s="27" t="n"/>
      <c r="K109" s="25" t="n"/>
      <c r="L109" s="24" t="n"/>
      <c r="M109" s="24" t="n"/>
    </row>
    <row r="110">
      <c r="A110" s="24" t="n"/>
      <c r="B110" s="24" t="n"/>
      <c r="C110" s="24" t="n"/>
      <c r="D110" s="25" t="n"/>
      <c r="E110" s="25" t="n"/>
      <c r="F110" s="24" t="n"/>
      <c r="G110" s="27" t="n"/>
      <c r="H110" s="27" t="n"/>
      <c r="I110" s="24" t="n"/>
      <c r="J110" s="27" t="n"/>
      <c r="K110" s="25" t="n"/>
      <c r="L110" s="24" t="n"/>
      <c r="M110" s="24" t="n"/>
    </row>
    <row r="111">
      <c r="A111" s="24" t="n"/>
      <c r="B111" s="24" t="n"/>
      <c r="C111" s="24" t="n"/>
      <c r="D111" s="25" t="n"/>
      <c r="E111" s="25" t="n"/>
      <c r="F111" s="24" t="n"/>
      <c r="G111" s="27" t="n"/>
      <c r="H111" s="27" t="n"/>
      <c r="I111" s="24" t="n"/>
      <c r="J111" s="27" t="n"/>
      <c r="K111" s="25" t="n"/>
      <c r="L111" s="24" t="n"/>
      <c r="M111" s="24" t="n"/>
    </row>
    <row r="112">
      <c r="A112" s="24" t="n"/>
      <c r="B112" s="24" t="n"/>
      <c r="C112" s="24" t="n"/>
      <c r="D112" s="25" t="n"/>
      <c r="E112" s="25" t="n"/>
      <c r="F112" s="24" t="n"/>
      <c r="G112" s="27" t="n"/>
      <c r="H112" s="27" t="n"/>
      <c r="I112" s="24" t="n"/>
      <c r="J112" s="27" t="n"/>
      <c r="K112" s="25" t="n"/>
      <c r="L112" s="24" t="n"/>
      <c r="M112" s="24" t="n"/>
    </row>
    <row r="113">
      <c r="A113" s="24" t="n"/>
      <c r="B113" s="24" t="n"/>
      <c r="C113" s="24" t="n"/>
      <c r="D113" s="25" t="n"/>
      <c r="E113" s="25" t="n"/>
      <c r="F113" s="24" t="n"/>
      <c r="G113" s="27" t="n"/>
      <c r="H113" s="27" t="n"/>
      <c r="I113" s="24" t="n"/>
      <c r="J113" s="27" t="n"/>
      <c r="K113" s="25" t="n"/>
      <c r="L113" s="24" t="n"/>
      <c r="M113" s="24" t="n"/>
    </row>
    <row r="114">
      <c r="A114" s="24" t="n"/>
      <c r="B114" s="24" t="n"/>
      <c r="C114" s="24" t="n"/>
      <c r="D114" s="25" t="n"/>
      <c r="E114" s="25" t="n"/>
      <c r="F114" s="24" t="n"/>
      <c r="G114" s="27" t="n"/>
      <c r="H114" s="27" t="n"/>
      <c r="I114" s="24" t="n"/>
      <c r="J114" s="27" t="n"/>
      <c r="K114" s="25" t="n"/>
      <c r="L114" s="24" t="n"/>
      <c r="M114" s="24" t="n"/>
    </row>
    <row r="115">
      <c r="A115" s="24" t="n"/>
      <c r="B115" s="24" t="n"/>
      <c r="C115" s="24" t="n"/>
      <c r="D115" s="25" t="n"/>
      <c r="E115" s="25" t="n"/>
      <c r="F115" s="24" t="n"/>
      <c r="G115" s="27" t="n"/>
      <c r="H115" s="27" t="n"/>
      <c r="I115" s="24" t="n"/>
      <c r="J115" s="27" t="n"/>
      <c r="K115" s="25" t="n"/>
      <c r="L115" s="24" t="n"/>
      <c r="M115" s="24" t="n"/>
    </row>
    <row r="116">
      <c r="A116" s="24" t="n"/>
      <c r="B116" s="24" t="n"/>
      <c r="C116" s="24" t="n"/>
      <c r="D116" s="25" t="n"/>
      <c r="E116" s="25" t="n"/>
      <c r="F116" s="24" t="n"/>
      <c r="G116" s="27" t="n"/>
      <c r="H116" s="27" t="n"/>
      <c r="I116" s="24" t="n"/>
      <c r="J116" s="27" t="n"/>
      <c r="K116" s="25" t="n"/>
      <c r="L116" s="24" t="n"/>
      <c r="M116" s="24" t="n"/>
    </row>
    <row r="117">
      <c r="A117" s="24" t="n"/>
      <c r="B117" s="24" t="n"/>
      <c r="C117" s="24" t="n"/>
      <c r="D117" s="25" t="n"/>
      <c r="E117" s="25" t="n"/>
      <c r="F117" s="24" t="n"/>
      <c r="G117" s="27" t="n"/>
      <c r="H117" s="27" t="n"/>
      <c r="I117" s="24" t="n"/>
      <c r="J117" s="27" t="n"/>
      <c r="K117" s="25" t="n"/>
      <c r="L117" s="24" t="n"/>
      <c r="M117" s="24" t="n"/>
    </row>
    <row r="118">
      <c r="A118" s="24" t="n"/>
      <c r="B118" s="24" t="n"/>
      <c r="C118" s="24" t="n"/>
      <c r="D118" s="25" t="n"/>
      <c r="E118" s="25" t="n"/>
      <c r="F118" s="24" t="n"/>
      <c r="G118" s="27" t="n"/>
      <c r="H118" s="27" t="n"/>
      <c r="I118" s="24" t="n"/>
      <c r="J118" s="27" t="n"/>
      <c r="K118" s="25" t="n"/>
      <c r="L118" s="24" t="n"/>
      <c r="M118" s="24" t="n"/>
    </row>
    <row r="119">
      <c r="A119" s="24" t="n"/>
      <c r="B119" s="24" t="n"/>
      <c r="C119" s="24" t="n"/>
      <c r="D119" s="25" t="n"/>
      <c r="E119" s="25" t="n"/>
      <c r="F119" s="24" t="n"/>
      <c r="G119" s="27" t="n"/>
      <c r="H119" s="27" t="n"/>
      <c r="I119" s="24" t="n"/>
      <c r="J119" s="27" t="n"/>
      <c r="K119" s="25" t="n"/>
      <c r="L119" s="24" t="n"/>
      <c r="M119" s="24" t="n"/>
    </row>
    <row r="120">
      <c r="A120" s="24" t="n"/>
      <c r="B120" s="24" t="n"/>
      <c r="C120" s="24" t="n"/>
      <c r="D120" s="25" t="n"/>
      <c r="E120" s="25" t="n"/>
      <c r="F120" s="24" t="n"/>
      <c r="G120" s="27" t="n"/>
      <c r="H120" s="27" t="n"/>
      <c r="I120" s="24" t="n"/>
      <c r="J120" s="27" t="n"/>
      <c r="K120" s="25" t="n"/>
      <c r="L120" s="24" t="n"/>
      <c r="M120" s="24" t="n"/>
    </row>
    <row r="121">
      <c r="A121" s="24" t="n"/>
      <c r="B121" s="24" t="n"/>
      <c r="C121" s="24" t="n"/>
      <c r="D121" s="25" t="n"/>
      <c r="E121" s="25" t="n"/>
      <c r="F121" s="24" t="n"/>
      <c r="G121" s="27" t="n"/>
      <c r="H121" s="27" t="n"/>
      <c r="I121" s="24" t="n"/>
      <c r="J121" s="27" t="n"/>
      <c r="K121" s="25" t="n"/>
      <c r="L121" s="24" t="n"/>
      <c r="M121" s="24" t="n"/>
    </row>
    <row r="122">
      <c r="A122" s="24" t="n"/>
      <c r="B122" s="24" t="n"/>
      <c r="C122" s="24" t="n"/>
      <c r="D122" s="25" t="n"/>
      <c r="E122" s="25" t="n"/>
      <c r="F122" s="24" t="n"/>
      <c r="G122" s="27" t="n"/>
      <c r="H122" s="27" t="n"/>
      <c r="I122" s="24" t="n"/>
      <c r="J122" s="27" t="n"/>
      <c r="K122" s="25" t="n"/>
      <c r="L122" s="24" t="n"/>
      <c r="M122" s="24" t="n"/>
    </row>
    <row r="123">
      <c r="A123" s="24" t="n"/>
      <c r="B123" s="24" t="n"/>
      <c r="C123" s="24" t="n"/>
      <c r="D123" s="25" t="n"/>
      <c r="E123" s="25" t="n"/>
      <c r="F123" s="24" t="n"/>
      <c r="G123" s="27" t="n"/>
      <c r="H123" s="27" t="n"/>
      <c r="I123" s="24" t="n"/>
      <c r="J123" s="27" t="n"/>
      <c r="K123" s="25" t="n"/>
      <c r="L123" s="24" t="n"/>
      <c r="M123" s="24" t="n"/>
    </row>
    <row r="124">
      <c r="A124" s="24" t="n"/>
      <c r="B124" s="24" t="n"/>
      <c r="C124" s="24" t="n"/>
      <c r="D124" s="25" t="n"/>
      <c r="E124" s="25" t="n"/>
      <c r="F124" s="24" t="n"/>
      <c r="G124" s="27" t="n"/>
      <c r="H124" s="27" t="n"/>
      <c r="I124" s="24" t="n"/>
      <c r="J124" s="27" t="n"/>
      <c r="K124" s="25" t="n"/>
      <c r="L124" s="24" t="n"/>
      <c r="M124" s="24" t="n"/>
    </row>
    <row r="125">
      <c r="A125" s="24" t="n"/>
      <c r="B125" s="24" t="n"/>
      <c r="C125" s="24" t="n"/>
      <c r="D125" s="25" t="n"/>
      <c r="E125" s="25" t="n"/>
      <c r="F125" s="24" t="n"/>
      <c r="G125" s="27" t="n"/>
      <c r="H125" s="27" t="n"/>
      <c r="I125" s="24" t="n"/>
      <c r="J125" s="27" t="n"/>
      <c r="K125" s="25" t="n"/>
      <c r="L125" s="24" t="n"/>
      <c r="M125" s="24" t="n"/>
    </row>
    <row r="126">
      <c r="A126" s="24" t="n"/>
      <c r="B126" s="24" t="n"/>
      <c r="C126" s="24" t="n"/>
      <c r="D126" s="25" t="n"/>
      <c r="E126" s="25" t="n"/>
      <c r="F126" s="24" t="n"/>
      <c r="G126" s="27" t="n"/>
      <c r="H126" s="27" t="n"/>
      <c r="I126" s="24" t="n"/>
      <c r="J126" s="27" t="n"/>
      <c r="K126" s="25" t="n"/>
      <c r="L126" s="24" t="n"/>
      <c r="M126" s="24" t="n"/>
    </row>
    <row r="127">
      <c r="A127" s="24" t="n"/>
      <c r="B127" s="24" t="n"/>
      <c r="C127" s="24" t="n"/>
      <c r="D127" s="25" t="n"/>
      <c r="E127" s="25" t="n"/>
      <c r="F127" s="24" t="n"/>
      <c r="G127" s="27" t="n"/>
      <c r="H127" s="27" t="n"/>
      <c r="I127" s="24" t="n"/>
      <c r="J127" s="27" t="n"/>
      <c r="K127" s="25" t="n"/>
      <c r="L127" s="24" t="n"/>
      <c r="M127" s="24" t="n"/>
    </row>
    <row r="128">
      <c r="A128" s="24" t="n"/>
      <c r="B128" s="24" t="n"/>
      <c r="C128" s="24" t="n"/>
      <c r="D128" s="25" t="n"/>
      <c r="E128" s="25" t="n"/>
      <c r="F128" s="24" t="n"/>
      <c r="G128" s="27" t="n"/>
      <c r="H128" s="27" t="n"/>
      <c r="I128" s="24" t="n"/>
      <c r="J128" s="27" t="n"/>
      <c r="K128" s="25" t="n"/>
      <c r="L128" s="24" t="n"/>
      <c r="M128" s="24" t="n"/>
    </row>
    <row r="129">
      <c r="A129" s="24" t="n"/>
      <c r="B129" s="24" t="n"/>
      <c r="C129" s="24" t="n"/>
      <c r="D129" s="25" t="n"/>
      <c r="E129" s="25" t="n"/>
      <c r="F129" s="24" t="n"/>
      <c r="G129" s="27" t="n"/>
      <c r="H129" s="27" t="n"/>
      <c r="I129" s="24" t="n"/>
      <c r="J129" s="27" t="n"/>
      <c r="K129" s="25" t="n"/>
      <c r="L129" s="24" t="n"/>
      <c r="M129" s="24" t="n"/>
    </row>
    <row r="130">
      <c r="A130" s="24" t="n"/>
      <c r="B130" s="24" t="n"/>
      <c r="C130" s="24" t="n"/>
      <c r="D130" s="25" t="n"/>
      <c r="E130" s="25" t="n"/>
      <c r="F130" s="24" t="n"/>
      <c r="G130" s="27" t="n"/>
      <c r="H130" s="27" t="n"/>
      <c r="I130" s="24" t="n"/>
      <c r="J130" s="27" t="n"/>
      <c r="K130" s="25" t="n"/>
      <c r="L130" s="24" t="n"/>
      <c r="M130" s="24" t="n"/>
    </row>
    <row r="131">
      <c r="A131" s="24" t="n"/>
      <c r="B131" s="24" t="n"/>
      <c r="C131" s="24" t="n"/>
      <c r="D131" s="25" t="n"/>
      <c r="E131" s="25" t="n"/>
      <c r="F131" s="24" t="n"/>
      <c r="G131" s="27" t="n"/>
      <c r="H131" s="27" t="n"/>
      <c r="I131" s="24" t="n"/>
      <c r="J131" s="27" t="n"/>
      <c r="K131" s="25" t="n"/>
      <c r="L131" s="24" t="n"/>
      <c r="M131" s="24" t="n"/>
    </row>
    <row r="132">
      <c r="A132" s="24" t="n"/>
      <c r="B132" s="24" t="n"/>
      <c r="C132" s="24" t="n"/>
      <c r="D132" s="25" t="n"/>
      <c r="E132" s="25" t="n"/>
      <c r="F132" s="24" t="n"/>
      <c r="G132" s="27" t="n"/>
      <c r="H132" s="27" t="n"/>
      <c r="I132" s="24" t="n"/>
      <c r="J132" s="27" t="n"/>
      <c r="K132" s="25" t="n"/>
      <c r="L132" s="24" t="n"/>
      <c r="M132" s="24" t="n"/>
    </row>
    <row r="133">
      <c r="A133" s="24" t="n"/>
      <c r="B133" s="24" t="n"/>
      <c r="C133" s="24" t="n"/>
      <c r="D133" s="25" t="n"/>
      <c r="E133" s="25" t="n"/>
      <c r="F133" s="24" t="n"/>
      <c r="G133" s="27" t="n"/>
      <c r="H133" s="27" t="n"/>
      <c r="I133" s="24" t="n"/>
      <c r="J133" s="27" t="n"/>
      <c r="K133" s="25" t="n"/>
      <c r="L133" s="24" t="n"/>
      <c r="M133" s="24" t="n"/>
    </row>
    <row r="134">
      <c r="A134" s="24" t="n"/>
      <c r="B134" s="24" t="n"/>
      <c r="C134" s="24" t="n"/>
      <c r="D134" s="25" t="n"/>
      <c r="E134" s="25" t="n"/>
      <c r="F134" s="24" t="n"/>
      <c r="G134" s="27" t="n"/>
      <c r="H134" s="27" t="n"/>
      <c r="I134" s="24" t="n"/>
      <c r="J134" s="27" t="n"/>
      <c r="K134" s="25" t="n"/>
      <c r="L134" s="24" t="n"/>
      <c r="M134" s="24" t="n"/>
    </row>
    <row r="135">
      <c r="A135" s="24" t="n"/>
      <c r="B135" s="24" t="n"/>
      <c r="C135" s="24" t="n"/>
      <c r="D135" s="25" t="n"/>
      <c r="E135" s="25" t="n"/>
      <c r="F135" s="24" t="n"/>
      <c r="G135" s="27" t="n"/>
      <c r="H135" s="27" t="n"/>
      <c r="I135" s="24" t="n"/>
      <c r="J135" s="27" t="n"/>
      <c r="K135" s="25" t="n"/>
      <c r="L135" s="24" t="n"/>
      <c r="M135" s="24" t="n"/>
    </row>
    <row r="136">
      <c r="A136" s="24" t="n"/>
      <c r="B136" s="24" t="n"/>
      <c r="C136" s="24" t="n"/>
      <c r="D136" s="25" t="n"/>
      <c r="E136" s="25" t="n"/>
      <c r="F136" s="24" t="n"/>
      <c r="G136" s="27" t="n"/>
      <c r="H136" s="27" t="n"/>
      <c r="I136" s="24" t="n"/>
      <c r="J136" s="27" t="n"/>
      <c r="K136" s="25" t="n"/>
      <c r="L136" s="24" t="n"/>
      <c r="M136" s="24" t="n"/>
    </row>
    <row r="137">
      <c r="A137" s="24" t="n"/>
      <c r="B137" s="24" t="n"/>
      <c r="C137" s="24" t="n"/>
      <c r="D137" s="25" t="n"/>
      <c r="E137" s="25" t="n"/>
      <c r="F137" s="24" t="n"/>
      <c r="G137" s="27" t="n"/>
      <c r="H137" s="27" t="n"/>
      <c r="I137" s="24" t="n"/>
      <c r="J137" s="27" t="n"/>
      <c r="K137" s="25" t="n"/>
      <c r="L137" s="24" t="n"/>
      <c r="M137" s="24" t="n"/>
    </row>
    <row r="138">
      <c r="A138" s="24" t="n"/>
      <c r="B138" s="24" t="n"/>
      <c r="C138" s="24" t="n"/>
      <c r="D138" s="25" t="n"/>
      <c r="E138" s="25" t="n"/>
      <c r="F138" s="24" t="n"/>
      <c r="G138" s="27" t="n"/>
      <c r="H138" s="27" t="n"/>
      <c r="I138" s="24" t="n"/>
      <c r="J138" s="27" t="n"/>
      <c r="K138" s="25" t="n"/>
      <c r="L138" s="24" t="n"/>
      <c r="M138" s="24" t="n"/>
    </row>
    <row r="139">
      <c r="A139" s="24" t="n"/>
      <c r="B139" s="24" t="n"/>
      <c r="C139" s="24" t="n"/>
      <c r="D139" s="25" t="n"/>
      <c r="E139" s="25" t="n"/>
      <c r="F139" s="24" t="n"/>
      <c r="G139" s="27" t="n"/>
      <c r="H139" s="27" t="n"/>
      <c r="I139" s="24" t="n"/>
      <c r="J139" s="27" t="n"/>
      <c r="K139" s="25" t="n"/>
      <c r="L139" s="24" t="n"/>
      <c r="M139" s="24" t="n"/>
    </row>
    <row r="140">
      <c r="A140" s="24" t="n"/>
      <c r="B140" s="24" t="n"/>
      <c r="C140" s="24" t="n"/>
      <c r="D140" s="25" t="n"/>
      <c r="E140" s="25" t="n"/>
      <c r="F140" s="24" t="n"/>
      <c r="G140" s="27" t="n"/>
      <c r="H140" s="27" t="n"/>
      <c r="I140" s="24" t="n"/>
      <c r="J140" s="27" t="n"/>
      <c r="K140" s="25" t="n"/>
      <c r="L140" s="24" t="n"/>
      <c r="M140" s="24" t="n"/>
    </row>
    <row r="141">
      <c r="A141" s="24" t="n"/>
      <c r="B141" s="24" t="n"/>
      <c r="C141" s="24" t="n"/>
      <c r="D141" s="25" t="n"/>
      <c r="E141" s="25" t="n"/>
      <c r="F141" s="24" t="n"/>
      <c r="G141" s="27" t="n"/>
      <c r="H141" s="27" t="n"/>
      <c r="I141" s="24" t="n"/>
      <c r="J141" s="27" t="n"/>
      <c r="K141" s="25" t="n"/>
      <c r="L141" s="24" t="n"/>
      <c r="M141" s="24" t="n"/>
    </row>
    <row r="142">
      <c r="A142" s="24" t="n"/>
      <c r="B142" s="24" t="n"/>
      <c r="C142" s="24" t="n"/>
      <c r="D142" s="25" t="n"/>
      <c r="E142" s="25" t="n"/>
      <c r="F142" s="24" t="n"/>
      <c r="G142" s="27" t="n"/>
      <c r="H142" s="27" t="n"/>
      <c r="I142" s="24" t="n"/>
      <c r="J142" s="27" t="n"/>
      <c r="K142" s="25" t="n"/>
      <c r="L142" s="24" t="n"/>
      <c r="M142" s="24" t="n"/>
    </row>
    <row r="143">
      <c r="A143" s="24" t="n"/>
      <c r="B143" s="24" t="n"/>
      <c r="C143" s="24" t="n"/>
      <c r="D143" s="25" t="n"/>
      <c r="E143" s="25" t="n"/>
      <c r="F143" s="24" t="n"/>
      <c r="G143" s="27" t="n"/>
      <c r="H143" s="27" t="n"/>
      <c r="I143" s="24" t="n"/>
      <c r="J143" s="27" t="n"/>
      <c r="K143" s="25" t="n"/>
      <c r="L143" s="24" t="n"/>
      <c r="M143" s="24" t="n"/>
    </row>
    <row r="144">
      <c r="A144" s="24" t="n"/>
      <c r="B144" s="24" t="n"/>
      <c r="C144" s="24" t="n"/>
      <c r="D144" s="25" t="n"/>
      <c r="E144" s="25" t="n"/>
      <c r="F144" s="24" t="n"/>
      <c r="G144" s="27" t="n"/>
      <c r="H144" s="27" t="n"/>
      <c r="I144" s="24" t="n"/>
      <c r="J144" s="27" t="n"/>
      <c r="K144" s="25" t="n"/>
      <c r="L144" s="24" t="n"/>
      <c r="M144" s="24" t="n"/>
    </row>
    <row r="145">
      <c r="A145" s="24" t="n"/>
      <c r="B145" s="24" t="n"/>
      <c r="C145" s="24" t="n"/>
      <c r="D145" s="25" t="n"/>
      <c r="E145" s="25" t="n"/>
      <c r="F145" s="24" t="n"/>
      <c r="G145" s="27" t="n"/>
      <c r="H145" s="27" t="n"/>
      <c r="I145" s="24" t="n"/>
      <c r="J145" s="27" t="n"/>
      <c r="K145" s="25" t="n"/>
      <c r="L145" s="24" t="n"/>
      <c r="M145" s="24" t="n"/>
    </row>
    <row r="146">
      <c r="A146" s="24" t="n"/>
      <c r="B146" s="24" t="n"/>
      <c r="C146" s="24" t="n"/>
      <c r="D146" s="25" t="n"/>
      <c r="E146" s="25" t="n"/>
      <c r="F146" s="24" t="n"/>
      <c r="G146" s="27" t="n"/>
      <c r="H146" s="27" t="n"/>
      <c r="I146" s="24" t="n"/>
      <c r="J146" s="27" t="n"/>
      <c r="K146" s="25" t="n"/>
      <c r="L146" s="24" t="n"/>
      <c r="M146" s="24" t="n"/>
    </row>
    <row r="147">
      <c r="A147" s="24" t="n"/>
      <c r="B147" s="24" t="n"/>
      <c r="C147" s="24" t="n"/>
      <c r="D147" s="25" t="n"/>
      <c r="E147" s="25" t="n"/>
      <c r="F147" s="24" t="n"/>
      <c r="G147" s="27" t="n"/>
      <c r="H147" s="27" t="n"/>
      <c r="I147" s="24" t="n"/>
      <c r="J147" s="27" t="n"/>
      <c r="K147" s="25" t="n"/>
      <c r="L147" s="24" t="n"/>
      <c r="M147" s="24" t="n"/>
    </row>
    <row r="148">
      <c r="A148" s="24" t="n"/>
      <c r="B148" s="24" t="n"/>
      <c r="C148" s="24" t="n"/>
      <c r="D148" s="25" t="n"/>
      <c r="E148" s="25" t="n"/>
      <c r="F148" s="24" t="n"/>
      <c r="G148" s="27" t="n"/>
      <c r="H148" s="27" t="n"/>
      <c r="I148" s="24" t="n"/>
      <c r="J148" s="27" t="n"/>
      <c r="K148" s="25" t="n"/>
      <c r="L148" s="24" t="n"/>
      <c r="M148" s="24" t="n"/>
    </row>
    <row r="149">
      <c r="A149" s="24" t="n"/>
      <c r="B149" s="24" t="n"/>
      <c r="C149" s="24" t="n"/>
      <c r="D149" s="25" t="n"/>
      <c r="E149" s="25" t="n"/>
      <c r="F149" s="24" t="n"/>
      <c r="G149" s="27" t="n"/>
      <c r="H149" s="27" t="n"/>
      <c r="I149" s="24" t="n"/>
      <c r="J149" s="27" t="n"/>
      <c r="K149" s="25" t="n"/>
      <c r="L149" s="24" t="n"/>
      <c r="M149" s="24" t="n"/>
    </row>
    <row r="150">
      <c r="A150" s="24" t="n"/>
      <c r="B150" s="24" t="n"/>
      <c r="C150" s="24" t="n"/>
      <c r="D150" s="25" t="n"/>
      <c r="E150" s="25" t="n"/>
      <c r="F150" s="24" t="n"/>
      <c r="G150" s="27" t="n"/>
      <c r="H150" s="27" t="n"/>
      <c r="I150" s="24" t="n"/>
      <c r="J150" s="27" t="n"/>
      <c r="K150" s="25" t="n"/>
      <c r="L150" s="24" t="n"/>
      <c r="M150" s="24" t="n"/>
    </row>
    <row r="151">
      <c r="A151" s="24" t="n"/>
      <c r="B151" s="24" t="n"/>
      <c r="C151" s="24" t="n"/>
      <c r="D151" s="25" t="n"/>
      <c r="E151" s="25" t="n"/>
      <c r="F151" s="24" t="n"/>
      <c r="G151" s="27" t="n"/>
      <c r="H151" s="27" t="n"/>
      <c r="I151" s="24" t="n"/>
      <c r="J151" s="27" t="n"/>
      <c r="K151" s="25" t="n"/>
      <c r="L151" s="24" t="n"/>
      <c r="M151" s="24" t="n"/>
    </row>
    <row r="152">
      <c r="A152" s="24" t="n"/>
      <c r="B152" s="24" t="n"/>
      <c r="C152" s="24" t="n"/>
      <c r="D152" s="25" t="n"/>
      <c r="E152" s="25" t="n"/>
      <c r="F152" s="24" t="n"/>
      <c r="G152" s="27" t="n"/>
      <c r="H152" s="27" t="n"/>
      <c r="I152" s="24" t="n"/>
      <c r="J152" s="27" t="n"/>
      <c r="K152" s="25" t="n"/>
      <c r="L152" s="24" t="n"/>
      <c r="M152" s="24" t="n"/>
    </row>
    <row r="153">
      <c r="A153" s="24" t="n"/>
      <c r="B153" s="24" t="n"/>
      <c r="C153" s="24" t="n"/>
      <c r="D153" s="25" t="n"/>
      <c r="E153" s="25" t="n"/>
      <c r="F153" s="24" t="n"/>
      <c r="G153" s="27" t="n"/>
      <c r="H153" s="27" t="n"/>
      <c r="I153" s="24" t="n"/>
      <c r="J153" s="27" t="n"/>
      <c r="K153" s="25" t="n"/>
      <c r="L153" s="24" t="n"/>
      <c r="M153" s="24" t="n"/>
    </row>
    <row r="154">
      <c r="A154" s="24" t="n"/>
      <c r="B154" s="24" t="n"/>
      <c r="C154" s="24" t="n"/>
      <c r="D154" s="25" t="n"/>
      <c r="E154" s="25" t="n"/>
      <c r="F154" s="24" t="n"/>
      <c r="G154" s="27" t="n"/>
      <c r="H154" s="27" t="n"/>
      <c r="I154" s="24" t="n"/>
      <c r="J154" s="27" t="n"/>
      <c r="K154" s="25" t="n"/>
      <c r="L154" s="24" t="n"/>
      <c r="M154" s="24" t="n"/>
    </row>
    <row r="155">
      <c r="A155" s="24" t="n"/>
      <c r="B155" s="24" t="n"/>
      <c r="C155" s="24" t="n"/>
      <c r="D155" s="25" t="n"/>
      <c r="E155" s="25" t="n"/>
      <c r="F155" s="24" t="n"/>
      <c r="G155" s="27" t="n"/>
      <c r="H155" s="27" t="n"/>
      <c r="I155" s="24" t="n"/>
      <c r="J155" s="27" t="n"/>
      <c r="K155" s="25" t="n"/>
      <c r="L155" s="24" t="n"/>
      <c r="M155" s="24" t="n"/>
    </row>
    <row r="156">
      <c r="A156" s="24" t="n"/>
      <c r="B156" s="24" t="n"/>
      <c r="C156" s="24" t="n"/>
      <c r="D156" s="25" t="n"/>
      <c r="E156" s="25" t="n"/>
      <c r="F156" s="24" t="n"/>
      <c r="G156" s="27" t="n"/>
      <c r="H156" s="27" t="n"/>
      <c r="I156" s="24" t="n"/>
      <c r="J156" s="27" t="n"/>
      <c r="K156" s="25" t="n"/>
      <c r="L156" s="24" t="n"/>
      <c r="M156" s="24" t="n"/>
    </row>
    <row r="157">
      <c r="A157" s="24" t="n"/>
      <c r="B157" s="24" t="n"/>
      <c r="C157" s="24" t="n"/>
      <c r="D157" s="25" t="n"/>
      <c r="E157" s="25" t="n"/>
      <c r="F157" s="24" t="n"/>
      <c r="G157" s="27" t="n"/>
      <c r="H157" s="27" t="n"/>
      <c r="I157" s="24" t="n"/>
      <c r="J157" s="27" t="n"/>
      <c r="K157" s="25" t="n"/>
      <c r="L157" s="24" t="n"/>
      <c r="M157" s="24" t="n"/>
    </row>
    <row r="158">
      <c r="A158" s="24" t="n"/>
      <c r="B158" s="24" t="n"/>
      <c r="C158" s="24" t="n"/>
      <c r="D158" s="25" t="n"/>
      <c r="E158" s="25" t="n"/>
      <c r="F158" s="24" t="n"/>
      <c r="G158" s="27" t="n"/>
      <c r="H158" s="27" t="n"/>
      <c r="I158" s="24" t="n"/>
      <c r="J158" s="27" t="n"/>
      <c r="K158" s="25" t="n"/>
      <c r="L158" s="24" t="n"/>
      <c r="M158" s="24" t="n"/>
    </row>
    <row r="159">
      <c r="A159" s="24" t="n"/>
      <c r="B159" s="24" t="n"/>
      <c r="C159" s="24" t="n"/>
      <c r="D159" s="25" t="n"/>
      <c r="E159" s="25" t="n"/>
      <c r="F159" s="24" t="n"/>
      <c r="G159" s="27" t="n"/>
      <c r="H159" s="27" t="n"/>
      <c r="I159" s="24" t="n"/>
      <c r="J159" s="27" t="n"/>
      <c r="K159" s="25" t="n"/>
      <c r="L159" s="24" t="n"/>
      <c r="M159" s="24" t="n"/>
    </row>
    <row r="160">
      <c r="A160" s="24" t="n"/>
      <c r="B160" s="24" t="n"/>
      <c r="C160" s="24" t="n"/>
      <c r="D160" s="25" t="n"/>
      <c r="E160" s="25" t="n"/>
      <c r="F160" s="24" t="n"/>
      <c r="G160" s="27" t="n"/>
      <c r="H160" s="27" t="n"/>
      <c r="I160" s="24" t="n"/>
      <c r="J160" s="27" t="n"/>
      <c r="K160" s="25" t="n"/>
      <c r="L160" s="24" t="n"/>
      <c r="M160" s="24" t="n"/>
    </row>
    <row r="161">
      <c r="A161" s="24" t="n"/>
      <c r="B161" s="24" t="n"/>
      <c r="C161" s="24" t="n"/>
      <c r="D161" s="25" t="n"/>
      <c r="E161" s="25" t="n"/>
      <c r="F161" s="24" t="n"/>
      <c r="G161" s="27" t="n"/>
      <c r="H161" s="27" t="n"/>
      <c r="I161" s="24" t="n"/>
      <c r="J161" s="27" t="n"/>
      <c r="K161" s="25" t="n"/>
      <c r="L161" s="24" t="n"/>
      <c r="M161" s="24" t="n"/>
    </row>
    <row r="162">
      <c r="A162" s="24" t="n"/>
      <c r="B162" s="24" t="n"/>
      <c r="C162" s="24" t="n"/>
      <c r="D162" s="25" t="n"/>
      <c r="E162" s="25" t="n"/>
      <c r="F162" s="24" t="n"/>
      <c r="G162" s="27" t="n"/>
      <c r="H162" s="27" t="n"/>
      <c r="I162" s="24" t="n"/>
      <c r="J162" s="27" t="n"/>
      <c r="K162" s="25" t="n"/>
      <c r="L162" s="24" t="n"/>
      <c r="M162" s="24" t="n"/>
    </row>
    <row r="163">
      <c r="A163" s="24" t="n"/>
      <c r="B163" s="24" t="n"/>
      <c r="C163" s="24" t="n"/>
      <c r="D163" s="25" t="n"/>
      <c r="E163" s="25" t="n"/>
      <c r="F163" s="24" t="n"/>
      <c r="G163" s="27" t="n"/>
      <c r="H163" s="27" t="n"/>
      <c r="I163" s="24" t="n"/>
      <c r="J163" s="27" t="n"/>
      <c r="K163" s="25" t="n"/>
      <c r="L163" s="24" t="n"/>
      <c r="M163" s="24" t="n"/>
    </row>
    <row r="164">
      <c r="A164" s="24" t="n"/>
      <c r="B164" s="24" t="n"/>
      <c r="C164" s="24" t="n"/>
      <c r="D164" s="25" t="n"/>
      <c r="E164" s="25" t="n"/>
      <c r="F164" s="24" t="n"/>
      <c r="G164" s="27" t="n"/>
      <c r="H164" s="27" t="n"/>
      <c r="I164" s="24" t="n"/>
      <c r="J164" s="27" t="n"/>
      <c r="K164" s="25" t="n"/>
      <c r="L164" s="24" t="n"/>
      <c r="M164" s="24" t="n"/>
    </row>
    <row r="165">
      <c r="A165" s="24" t="n"/>
      <c r="B165" s="24" t="n"/>
      <c r="C165" s="24" t="n"/>
      <c r="D165" s="25" t="n"/>
      <c r="E165" s="25" t="n"/>
      <c r="F165" s="24" t="n"/>
      <c r="G165" s="27" t="n"/>
      <c r="H165" s="27" t="n"/>
      <c r="I165" s="24" t="n"/>
      <c r="J165" s="27" t="n"/>
      <c r="K165" s="25" t="n"/>
      <c r="L165" s="24" t="n"/>
      <c r="M165" s="24" t="n"/>
    </row>
    <row r="166">
      <c r="A166" s="24" t="n"/>
      <c r="B166" s="24" t="n"/>
      <c r="C166" s="24" t="n"/>
      <c r="D166" s="25" t="n"/>
      <c r="E166" s="25" t="n"/>
      <c r="F166" s="24" t="n"/>
      <c r="G166" s="27" t="n"/>
      <c r="H166" s="27" t="n"/>
      <c r="I166" s="24" t="n"/>
      <c r="J166" s="27" t="n"/>
      <c r="K166" s="25" t="n"/>
      <c r="L166" s="24" t="n"/>
      <c r="M166" s="24" t="n"/>
    </row>
    <row r="167">
      <c r="A167" s="24" t="n"/>
      <c r="B167" s="24" t="n"/>
      <c r="C167" s="24" t="n"/>
      <c r="D167" s="25" t="n"/>
      <c r="E167" s="25" t="n"/>
      <c r="F167" s="24" t="n"/>
      <c r="G167" s="27" t="n"/>
      <c r="H167" s="27" t="n"/>
      <c r="I167" s="24" t="n"/>
      <c r="J167" s="27" t="n"/>
      <c r="K167" s="25" t="n"/>
      <c r="L167" s="24" t="n"/>
      <c r="M167" s="24" t="n"/>
    </row>
    <row r="168">
      <c r="A168" s="24" t="n"/>
      <c r="B168" s="24" t="n"/>
      <c r="C168" s="24" t="n"/>
      <c r="D168" s="25" t="n"/>
      <c r="E168" s="25" t="n"/>
      <c r="F168" s="24" t="n"/>
      <c r="G168" s="27" t="n"/>
      <c r="H168" s="27" t="n"/>
      <c r="I168" s="24" t="n"/>
      <c r="J168" s="27" t="n"/>
      <c r="K168" s="25" t="n"/>
      <c r="L168" s="24" t="n"/>
      <c r="M168" s="24" t="n"/>
    </row>
    <row r="169">
      <c r="A169" s="24" t="n"/>
      <c r="B169" s="24" t="n"/>
      <c r="C169" s="24" t="n"/>
      <c r="D169" s="25" t="n"/>
      <c r="E169" s="25" t="n"/>
      <c r="F169" s="24" t="n"/>
      <c r="G169" s="27" t="n"/>
      <c r="H169" s="27" t="n"/>
      <c r="I169" s="24" t="n"/>
      <c r="J169" s="27" t="n"/>
      <c r="K169" s="25" t="n"/>
      <c r="L169" s="24" t="n"/>
      <c r="M169" s="24" t="n"/>
    </row>
    <row r="170">
      <c r="A170" s="24" t="n"/>
      <c r="B170" s="24" t="n"/>
      <c r="C170" s="24" t="n"/>
      <c r="D170" s="25" t="n"/>
      <c r="E170" s="25" t="n"/>
      <c r="F170" s="24" t="n"/>
      <c r="G170" s="27" t="n"/>
      <c r="H170" s="27" t="n"/>
      <c r="I170" s="24" t="n"/>
      <c r="J170" s="27" t="n"/>
      <c r="K170" s="25" t="n"/>
      <c r="L170" s="24" t="n"/>
      <c r="M170" s="24" t="n"/>
    </row>
    <row r="171">
      <c r="A171" s="24" t="n"/>
      <c r="B171" s="24" t="n"/>
      <c r="C171" s="24" t="n"/>
      <c r="D171" s="25" t="n"/>
      <c r="E171" s="25" t="n"/>
      <c r="F171" s="24" t="n"/>
      <c r="G171" s="27" t="n"/>
      <c r="H171" s="27" t="n"/>
      <c r="I171" s="24" t="n"/>
      <c r="J171" s="27" t="n"/>
      <c r="K171" s="25" t="n"/>
      <c r="L171" s="24" t="n"/>
      <c r="M171" s="24" t="n"/>
    </row>
    <row r="172">
      <c r="A172" s="24" t="n"/>
      <c r="B172" s="24" t="n"/>
      <c r="C172" s="24" t="n"/>
      <c r="D172" s="25" t="n"/>
      <c r="E172" s="25" t="n"/>
      <c r="F172" s="24" t="n"/>
      <c r="G172" s="27" t="n"/>
      <c r="H172" s="27" t="n"/>
      <c r="I172" s="24" t="n"/>
      <c r="J172" s="27" t="n"/>
      <c r="K172" s="25" t="n"/>
      <c r="L172" s="24" t="n"/>
      <c r="M172" s="24" t="n"/>
    </row>
    <row r="173">
      <c r="A173" s="24" t="n"/>
      <c r="B173" s="24" t="n"/>
      <c r="C173" s="24" t="n"/>
      <c r="D173" s="25" t="n"/>
      <c r="E173" s="25" t="n"/>
      <c r="F173" s="24" t="n"/>
      <c r="G173" s="27" t="n"/>
      <c r="H173" s="27" t="n"/>
      <c r="I173" s="24" t="n"/>
      <c r="J173" s="27" t="n"/>
      <c r="K173" s="25" t="n"/>
      <c r="L173" s="24" t="n"/>
      <c r="M173" s="24" t="n"/>
    </row>
    <row r="174">
      <c r="A174" s="24" t="n"/>
      <c r="B174" s="24" t="n"/>
      <c r="C174" s="24" t="n"/>
      <c r="D174" s="25" t="n"/>
      <c r="E174" s="25" t="n"/>
      <c r="F174" s="24" t="n"/>
      <c r="G174" s="27" t="n"/>
      <c r="H174" s="27" t="n"/>
      <c r="I174" s="24" t="n"/>
      <c r="J174" s="27" t="n"/>
      <c r="K174" s="25" t="n"/>
      <c r="L174" s="24" t="n"/>
      <c r="M174" s="24" t="n"/>
    </row>
    <row r="175">
      <c r="A175" s="24" t="n"/>
      <c r="B175" s="24" t="n"/>
      <c r="C175" s="24" t="n"/>
      <c r="D175" s="25" t="n"/>
      <c r="E175" s="25" t="n"/>
      <c r="F175" s="24" t="n"/>
      <c r="G175" s="27" t="n"/>
      <c r="H175" s="27" t="n"/>
      <c r="I175" s="24" t="n"/>
      <c r="J175" s="27" t="n"/>
      <c r="K175" s="25" t="n"/>
      <c r="L175" s="24" t="n"/>
      <c r="M175" s="24" t="n"/>
    </row>
    <row r="176">
      <c r="A176" s="24" t="n"/>
      <c r="B176" s="24" t="n"/>
      <c r="C176" s="24" t="n"/>
      <c r="D176" s="25" t="n"/>
      <c r="E176" s="25" t="n"/>
      <c r="F176" s="24" t="n"/>
      <c r="G176" s="27" t="n"/>
      <c r="H176" s="27" t="n"/>
      <c r="I176" s="24" t="n"/>
      <c r="J176" s="27" t="n"/>
      <c r="K176" s="25" t="n"/>
      <c r="L176" s="24" t="n"/>
      <c r="M176" s="24" t="n"/>
    </row>
    <row r="177">
      <c r="A177" s="24" t="n"/>
      <c r="B177" s="24" t="n"/>
      <c r="C177" s="24" t="n"/>
      <c r="D177" s="25" t="n"/>
      <c r="E177" s="25" t="n"/>
      <c r="F177" s="24" t="n"/>
      <c r="G177" s="27" t="n"/>
      <c r="H177" s="27" t="n"/>
      <c r="I177" s="24" t="n"/>
      <c r="J177" s="27" t="n"/>
      <c r="K177" s="25" t="n"/>
      <c r="L177" s="24" t="n"/>
      <c r="M177" s="24" t="n"/>
    </row>
    <row r="178">
      <c r="A178" s="24" t="n"/>
      <c r="B178" s="24" t="n"/>
      <c r="C178" s="24" t="n"/>
      <c r="D178" s="25" t="n"/>
      <c r="E178" s="25" t="n"/>
      <c r="F178" s="24" t="n"/>
      <c r="G178" s="27" t="n"/>
      <c r="H178" s="27" t="n"/>
      <c r="I178" s="24" t="n"/>
      <c r="J178" s="27" t="n"/>
      <c r="K178" s="25" t="n"/>
      <c r="L178" s="24" t="n"/>
      <c r="M178" s="24" t="n"/>
    </row>
    <row r="179">
      <c r="A179" s="24" t="n"/>
      <c r="B179" s="24" t="n"/>
      <c r="C179" s="24" t="n"/>
      <c r="D179" s="25" t="n"/>
      <c r="E179" s="25" t="n"/>
      <c r="F179" s="24" t="n"/>
      <c r="G179" s="27" t="n"/>
      <c r="H179" s="27" t="n"/>
      <c r="I179" s="24" t="n"/>
      <c r="J179" s="27" t="n"/>
      <c r="K179" s="25" t="n"/>
      <c r="L179" s="24" t="n"/>
      <c r="M179" s="24" t="n"/>
    </row>
    <row r="180">
      <c r="A180" s="24" t="n"/>
      <c r="B180" s="24" t="n"/>
      <c r="C180" s="24" t="n"/>
      <c r="D180" s="25" t="n"/>
      <c r="E180" s="25" t="n"/>
      <c r="F180" s="24" t="n"/>
      <c r="G180" s="27" t="n"/>
      <c r="H180" s="27" t="n"/>
      <c r="I180" s="24" t="n"/>
      <c r="J180" s="27" t="n"/>
      <c r="K180" s="25" t="n"/>
      <c r="L180" s="24" t="n"/>
      <c r="M180" s="24" t="n"/>
    </row>
    <row r="181">
      <c r="A181" s="24" t="n"/>
      <c r="B181" s="24" t="n"/>
      <c r="C181" s="24" t="n"/>
      <c r="D181" s="25" t="n"/>
      <c r="E181" s="25" t="n"/>
      <c r="F181" s="24" t="n"/>
      <c r="G181" s="27" t="n"/>
      <c r="H181" s="27" t="n"/>
      <c r="I181" s="24" t="n"/>
      <c r="J181" s="27" t="n"/>
      <c r="K181" s="25" t="n"/>
      <c r="L181" s="24" t="n"/>
      <c r="M181" s="24" t="n"/>
    </row>
    <row r="182">
      <c r="A182" s="24" t="n"/>
      <c r="B182" s="24" t="n"/>
      <c r="C182" s="24" t="n"/>
      <c r="D182" s="25" t="n"/>
      <c r="E182" s="25" t="n"/>
      <c r="F182" s="24" t="n"/>
      <c r="G182" s="27" t="n"/>
      <c r="H182" s="27" t="n"/>
      <c r="I182" s="24" t="n"/>
      <c r="J182" s="27" t="n"/>
      <c r="K182" s="25" t="n"/>
      <c r="L182" s="24" t="n"/>
      <c r="M182" s="24" t="n"/>
    </row>
    <row r="183">
      <c r="A183" s="24" t="n"/>
      <c r="B183" s="24" t="n"/>
      <c r="C183" s="24" t="n"/>
      <c r="D183" s="25" t="n"/>
      <c r="E183" s="25" t="n"/>
      <c r="F183" s="24" t="n"/>
      <c r="G183" s="27" t="n"/>
      <c r="H183" s="27" t="n"/>
      <c r="I183" s="24" t="n"/>
      <c r="J183" s="27" t="n"/>
      <c r="K183" s="25" t="n"/>
      <c r="L183" s="24" t="n"/>
      <c r="M183" s="24" t="n"/>
    </row>
    <row r="184">
      <c r="A184" s="24" t="n"/>
      <c r="B184" s="24" t="n"/>
      <c r="C184" s="24" t="n"/>
      <c r="D184" s="25" t="n"/>
      <c r="E184" s="25" t="n"/>
      <c r="F184" s="24" t="n"/>
      <c r="G184" s="27" t="n"/>
      <c r="H184" s="27" t="n"/>
      <c r="I184" s="24" t="n"/>
      <c r="J184" s="27" t="n"/>
      <c r="K184" s="25" t="n"/>
      <c r="L184" s="24" t="n"/>
      <c r="M184" s="24" t="n"/>
    </row>
    <row r="185">
      <c r="A185" s="24" t="n"/>
      <c r="B185" s="24" t="n"/>
      <c r="C185" s="24" t="n"/>
      <c r="D185" s="25" t="n"/>
      <c r="E185" s="25" t="n"/>
      <c r="F185" s="24" t="n"/>
      <c r="G185" s="27" t="n"/>
      <c r="H185" s="27" t="n"/>
      <c r="I185" s="24" t="n"/>
      <c r="J185" s="27" t="n"/>
      <c r="K185" s="25" t="n"/>
      <c r="L185" s="24" t="n"/>
      <c r="M185" s="24" t="n"/>
    </row>
    <row r="186">
      <c r="A186" s="24" t="n"/>
      <c r="B186" s="24" t="n"/>
      <c r="C186" s="24" t="n"/>
      <c r="D186" s="25" t="n"/>
      <c r="E186" s="25" t="n"/>
      <c r="F186" s="24" t="n"/>
      <c r="G186" s="27" t="n"/>
      <c r="H186" s="27" t="n"/>
      <c r="I186" s="24" t="n"/>
      <c r="J186" s="27" t="n"/>
      <c r="K186" s="25" t="n"/>
      <c r="L186" s="24" t="n"/>
      <c r="M186" s="24" t="n"/>
    </row>
    <row r="187">
      <c r="A187" s="24" t="n"/>
      <c r="B187" s="24" t="n"/>
      <c r="C187" s="24" t="n"/>
      <c r="D187" s="25" t="n"/>
      <c r="E187" s="25" t="n"/>
      <c r="F187" s="24" t="n"/>
      <c r="G187" s="27" t="n"/>
      <c r="H187" s="27" t="n"/>
      <c r="I187" s="24" t="n"/>
      <c r="J187" s="27" t="n"/>
      <c r="K187" s="25" t="n"/>
      <c r="L187" s="24" t="n"/>
      <c r="M187" s="24" t="n"/>
    </row>
    <row r="188">
      <c r="A188" s="24" t="n"/>
      <c r="B188" s="24" t="n"/>
      <c r="C188" s="24" t="n"/>
      <c r="D188" s="25" t="n"/>
      <c r="E188" s="25" t="n"/>
      <c r="F188" s="24" t="n"/>
      <c r="G188" s="27" t="n"/>
      <c r="H188" s="27" t="n"/>
      <c r="I188" s="24" t="n"/>
      <c r="J188" s="27" t="n"/>
      <c r="K188" s="25" t="n"/>
      <c r="L188" s="24" t="n"/>
      <c r="M188" s="24" t="n"/>
    </row>
    <row r="189">
      <c r="A189" s="24" t="n"/>
      <c r="B189" s="24" t="n"/>
      <c r="C189" s="24" t="n"/>
      <c r="D189" s="25" t="n"/>
      <c r="E189" s="25" t="n"/>
      <c r="F189" s="24" t="n"/>
      <c r="G189" s="27" t="n"/>
      <c r="H189" s="27" t="n"/>
      <c r="I189" s="24" t="n"/>
      <c r="J189" s="27" t="n"/>
      <c r="K189" s="25" t="n"/>
      <c r="L189" s="24" t="n"/>
      <c r="M189" s="24" t="n"/>
    </row>
    <row r="190">
      <c r="A190" s="24" t="n"/>
      <c r="B190" s="24" t="n"/>
      <c r="C190" s="24" t="n"/>
      <c r="D190" s="25" t="n"/>
      <c r="E190" s="25" t="n"/>
      <c r="F190" s="24" t="n"/>
      <c r="G190" s="27" t="n"/>
      <c r="H190" s="27" t="n"/>
      <c r="I190" s="24" t="n"/>
      <c r="J190" s="27" t="n"/>
      <c r="K190" s="25" t="n"/>
      <c r="L190" s="24" t="n"/>
      <c r="M190" s="24" t="n"/>
    </row>
    <row r="191">
      <c r="A191" s="24" t="n"/>
      <c r="B191" s="24" t="n"/>
      <c r="C191" s="24" t="n"/>
      <c r="D191" s="25" t="n"/>
      <c r="E191" s="25" t="n"/>
      <c r="F191" s="24" t="n"/>
      <c r="G191" s="27" t="n"/>
      <c r="H191" s="27" t="n"/>
      <c r="I191" s="24" t="n"/>
      <c r="J191" s="27" t="n"/>
      <c r="K191" s="25" t="n"/>
      <c r="L191" s="24" t="n"/>
      <c r="M191" s="24" t="n"/>
    </row>
    <row r="192">
      <c r="A192" s="24" t="n"/>
      <c r="B192" s="24" t="n"/>
      <c r="C192" s="24" t="n"/>
      <c r="D192" s="25" t="n"/>
      <c r="E192" s="25" t="n"/>
      <c r="F192" s="24" t="n"/>
      <c r="G192" s="27" t="n"/>
      <c r="H192" s="27" t="n"/>
      <c r="I192" s="24" t="n"/>
      <c r="J192" s="27" t="n"/>
      <c r="K192" s="25" t="n"/>
      <c r="L192" s="24" t="n"/>
      <c r="M192" s="24" t="n"/>
    </row>
    <row r="193">
      <c r="A193" s="24" t="n"/>
      <c r="B193" s="24" t="n"/>
      <c r="C193" s="24" t="n"/>
      <c r="D193" s="25" t="n"/>
      <c r="E193" s="25" t="n"/>
      <c r="F193" s="24" t="n"/>
      <c r="G193" s="27" t="n"/>
      <c r="H193" s="27" t="n"/>
      <c r="I193" s="24" t="n"/>
      <c r="J193" s="27" t="n"/>
      <c r="K193" s="25" t="n"/>
      <c r="L193" s="24" t="n"/>
      <c r="M193" s="24" t="n"/>
    </row>
    <row r="194">
      <c r="A194" s="24" t="n"/>
      <c r="B194" s="24" t="n"/>
      <c r="C194" s="24" t="n"/>
      <c r="D194" s="25" t="n"/>
      <c r="E194" s="25" t="n"/>
      <c r="F194" s="24" t="n"/>
      <c r="G194" s="27" t="n"/>
      <c r="H194" s="27" t="n"/>
      <c r="I194" s="24" t="n"/>
      <c r="J194" s="27" t="n"/>
      <c r="K194" s="25" t="n"/>
      <c r="L194" s="24" t="n"/>
      <c r="M194" s="24" t="n"/>
    </row>
    <row r="195">
      <c r="A195" s="24" t="n"/>
      <c r="B195" s="24" t="n"/>
      <c r="C195" s="24" t="n"/>
      <c r="D195" s="25" t="n"/>
      <c r="E195" s="25" t="n"/>
      <c r="F195" s="24" t="n"/>
      <c r="G195" s="27" t="n"/>
      <c r="H195" s="27" t="n"/>
      <c r="I195" s="24" t="n"/>
      <c r="J195" s="27" t="n"/>
      <c r="K195" s="25" t="n"/>
      <c r="L195" s="24" t="n"/>
      <c r="M195" s="24" t="n"/>
    </row>
    <row r="196">
      <c r="A196" s="24" t="n"/>
      <c r="B196" s="24" t="n"/>
      <c r="C196" s="24" t="n"/>
      <c r="D196" s="25" t="n"/>
      <c r="E196" s="25" t="n"/>
      <c r="F196" s="24" t="n"/>
      <c r="G196" s="27" t="n"/>
      <c r="H196" s="27" t="n"/>
      <c r="I196" s="24" t="n"/>
      <c r="J196" s="27" t="n"/>
      <c r="K196" s="25" t="n"/>
      <c r="L196" s="24" t="n"/>
      <c r="M196" s="24" t="n"/>
    </row>
    <row r="197">
      <c r="A197" s="24" t="n"/>
      <c r="B197" s="24" t="n"/>
      <c r="C197" s="24" t="n"/>
      <c r="D197" s="25" t="n"/>
      <c r="E197" s="25" t="n"/>
      <c r="F197" s="24" t="n"/>
      <c r="G197" s="27" t="n"/>
      <c r="H197" s="27" t="n"/>
      <c r="I197" s="24" t="n"/>
      <c r="J197" s="27" t="n"/>
      <c r="K197" s="25" t="n"/>
      <c r="L197" s="24" t="n"/>
      <c r="M197" s="24" t="n"/>
    </row>
    <row r="198">
      <c r="A198" s="24" t="n"/>
      <c r="B198" s="24" t="n"/>
      <c r="C198" s="24" t="n"/>
      <c r="D198" s="25" t="n"/>
      <c r="E198" s="25" t="n"/>
      <c r="F198" s="24" t="n"/>
      <c r="G198" s="27" t="n"/>
      <c r="H198" s="27" t="n"/>
      <c r="I198" s="24" t="n"/>
      <c r="J198" s="27" t="n"/>
      <c r="K198" s="25" t="n"/>
      <c r="L198" s="24" t="n"/>
      <c r="M198" s="24" t="n"/>
    </row>
    <row r="199">
      <c r="A199" s="24" t="n"/>
      <c r="B199" s="24" t="n"/>
      <c r="C199" s="24" t="n"/>
      <c r="D199" s="25" t="n"/>
      <c r="E199" s="25" t="n"/>
      <c r="F199" s="24" t="n"/>
      <c r="G199" s="27" t="n"/>
      <c r="H199" s="27" t="n"/>
      <c r="I199" s="24" t="n"/>
      <c r="J199" s="27" t="n"/>
      <c r="K199" s="25" t="n"/>
      <c r="L199" s="24" t="n"/>
      <c r="M199" s="24" t="n"/>
    </row>
    <row r="200">
      <c r="A200" s="24" t="n"/>
      <c r="B200" s="24" t="n"/>
      <c r="C200" s="24" t="n"/>
      <c r="D200" s="25" t="n"/>
      <c r="E200" s="25" t="n"/>
      <c r="F200" s="24" t="n"/>
      <c r="G200" s="27" t="n"/>
      <c r="H200" s="27" t="n"/>
      <c r="I200" s="24" t="n"/>
      <c r="J200" s="27" t="n"/>
      <c r="K200" s="25" t="n"/>
      <c r="L200" s="24" t="n"/>
      <c r="M200" s="24" t="n"/>
    </row>
    <row r="201">
      <c r="A201" s="24" t="n"/>
      <c r="B201" s="24" t="n"/>
      <c r="C201" s="24" t="n"/>
      <c r="D201" s="25" t="n"/>
      <c r="E201" s="25" t="n"/>
      <c r="F201" s="24" t="n"/>
      <c r="G201" s="27" t="n"/>
      <c r="H201" s="27" t="n"/>
      <c r="I201" s="24" t="n"/>
      <c r="J201" s="27" t="n"/>
      <c r="K201" s="25" t="n"/>
      <c r="L201" s="24" t="n"/>
      <c r="M201" s="24" t="n"/>
    </row>
    <row r="202">
      <c r="A202" s="24" t="n"/>
      <c r="B202" s="24" t="n"/>
      <c r="C202" s="24" t="n"/>
      <c r="D202" s="25" t="n"/>
      <c r="E202" s="25" t="n"/>
      <c r="F202" s="24" t="n"/>
      <c r="G202" s="27" t="n"/>
      <c r="H202" s="27" t="n"/>
      <c r="I202" s="24" t="n"/>
      <c r="J202" s="27" t="n"/>
      <c r="K202" s="25" t="n"/>
      <c r="L202" s="24" t="n"/>
      <c r="M202" s="24" t="n"/>
    </row>
    <row r="203">
      <c r="A203" s="24" t="n"/>
      <c r="B203" s="24" t="n"/>
      <c r="C203" s="24" t="n"/>
      <c r="D203" s="25" t="n"/>
      <c r="E203" s="25" t="n"/>
      <c r="F203" s="24" t="n"/>
      <c r="G203" s="27" t="n"/>
      <c r="H203" s="27" t="n"/>
      <c r="I203" s="24" t="n"/>
      <c r="J203" s="27" t="n"/>
      <c r="K203" s="25" t="n"/>
      <c r="L203" s="24" t="n"/>
      <c r="M203" s="24" t="n"/>
    </row>
    <row r="204">
      <c r="A204" s="24" t="n"/>
      <c r="B204" s="24" t="n"/>
      <c r="C204" s="24" t="n"/>
      <c r="D204" s="25" t="n"/>
      <c r="E204" s="25" t="n"/>
      <c r="F204" s="24" t="n"/>
      <c r="G204" s="27" t="n"/>
      <c r="H204" s="27" t="n"/>
      <c r="I204" s="24" t="n"/>
      <c r="J204" s="27" t="n"/>
      <c r="K204" s="25" t="n"/>
      <c r="L204" s="24" t="n"/>
      <c r="M204" s="24" t="n"/>
    </row>
    <row r="205">
      <c r="A205" s="24" t="n"/>
      <c r="B205" s="24" t="n"/>
      <c r="C205" s="24" t="n"/>
      <c r="D205" s="25" t="n"/>
      <c r="E205" s="25" t="n"/>
      <c r="F205" s="24" t="n"/>
      <c r="G205" s="27" t="n"/>
      <c r="H205" s="27" t="n"/>
      <c r="I205" s="24" t="n"/>
      <c r="J205" s="27" t="n"/>
      <c r="K205" s="25" t="n"/>
      <c r="L205" s="24" t="n"/>
      <c r="M205" s="24" t="n"/>
    </row>
    <row r="206">
      <c r="A206" s="24" t="n"/>
      <c r="B206" s="24" t="n"/>
      <c r="C206" s="24" t="n"/>
      <c r="D206" s="25" t="n"/>
      <c r="E206" s="25" t="n"/>
      <c r="F206" s="24" t="n"/>
      <c r="G206" s="27" t="n"/>
      <c r="H206" s="27" t="n"/>
      <c r="I206" s="24" t="n"/>
      <c r="J206" s="27" t="n"/>
      <c r="K206" s="25" t="n"/>
      <c r="L206" s="24" t="n"/>
      <c r="M206" s="24" t="n"/>
    </row>
    <row r="207">
      <c r="A207" s="24" t="n"/>
      <c r="B207" s="24" t="n"/>
      <c r="C207" s="24" t="n"/>
      <c r="D207" s="25" t="n"/>
      <c r="E207" s="25" t="n"/>
      <c r="F207" s="24" t="n"/>
      <c r="G207" s="27" t="n"/>
      <c r="H207" s="27" t="n"/>
      <c r="I207" s="24" t="n"/>
      <c r="J207" s="27" t="n"/>
      <c r="K207" s="25" t="n"/>
      <c r="L207" s="24" t="n"/>
      <c r="M207" s="24" t="n"/>
    </row>
    <row r="208">
      <c r="A208" s="24" t="n"/>
      <c r="B208" s="24" t="n"/>
      <c r="C208" s="24" t="n"/>
      <c r="D208" s="25" t="n"/>
      <c r="E208" s="25" t="n"/>
      <c r="F208" s="24" t="n"/>
      <c r="G208" s="27" t="n"/>
      <c r="H208" s="27" t="n"/>
      <c r="I208" s="24" t="n"/>
      <c r="J208" s="27" t="n"/>
      <c r="K208" s="25" t="n"/>
      <c r="L208" s="24" t="n"/>
      <c r="M208" s="24" t="n"/>
    </row>
    <row r="209">
      <c r="A209" s="24" t="n"/>
      <c r="B209" s="24" t="n"/>
      <c r="C209" s="24" t="n"/>
      <c r="D209" s="25" t="n"/>
      <c r="E209" s="25" t="n"/>
      <c r="F209" s="24" t="n"/>
      <c r="G209" s="27" t="n"/>
      <c r="H209" s="27" t="n"/>
      <c r="I209" s="24" t="n"/>
      <c r="J209" s="27" t="n"/>
      <c r="K209" s="25" t="n"/>
      <c r="L209" s="24" t="n"/>
      <c r="M209" s="24" t="n"/>
    </row>
    <row r="210">
      <c r="A210" s="24" t="n"/>
      <c r="B210" s="24" t="n"/>
      <c r="C210" s="24" t="n"/>
      <c r="D210" s="25" t="n"/>
      <c r="E210" s="25" t="n"/>
      <c r="F210" s="24" t="n"/>
      <c r="G210" s="27" t="n"/>
      <c r="H210" s="27" t="n"/>
      <c r="I210" s="24" t="n"/>
      <c r="J210" s="27" t="n"/>
      <c r="K210" s="25" t="n"/>
      <c r="L210" s="24" t="n"/>
      <c r="M210" s="24" t="n"/>
    </row>
    <row r="211">
      <c r="A211" s="24" t="n"/>
      <c r="B211" s="24" t="n"/>
      <c r="C211" s="24" t="n"/>
      <c r="D211" s="25" t="n"/>
      <c r="E211" s="25" t="n"/>
      <c r="F211" s="24" t="n"/>
      <c r="G211" s="27" t="n"/>
      <c r="H211" s="27" t="n"/>
      <c r="I211" s="24" t="n"/>
      <c r="J211" s="27" t="n"/>
      <c r="K211" s="25" t="n"/>
      <c r="L211" s="24" t="n"/>
      <c r="M211" s="24" t="n"/>
    </row>
    <row r="212">
      <c r="A212" s="24" t="n"/>
      <c r="B212" s="24" t="n"/>
      <c r="C212" s="24" t="n"/>
      <c r="D212" s="25" t="n"/>
      <c r="E212" s="25" t="n"/>
      <c r="F212" s="24" t="n"/>
      <c r="G212" s="27" t="n"/>
      <c r="H212" s="27" t="n"/>
      <c r="I212" s="24" t="n"/>
      <c r="J212" s="27" t="n"/>
      <c r="K212" s="25" t="n"/>
      <c r="L212" s="24" t="n"/>
      <c r="M212" s="24" t="n"/>
    </row>
    <row r="213">
      <c r="A213" s="24" t="n"/>
      <c r="B213" s="24" t="n"/>
      <c r="C213" s="24" t="n"/>
      <c r="D213" s="25" t="n"/>
      <c r="E213" s="25" t="n"/>
      <c r="F213" s="24" t="n"/>
      <c r="G213" s="27" t="n"/>
      <c r="H213" s="27" t="n"/>
      <c r="I213" s="24" t="n"/>
      <c r="J213" s="27" t="n"/>
      <c r="K213" s="25" t="n"/>
      <c r="L213" s="24" t="n"/>
      <c r="M213" s="24" t="n"/>
    </row>
    <row r="214">
      <c r="A214" s="24" t="n"/>
      <c r="B214" s="24" t="n"/>
      <c r="C214" s="24" t="n"/>
      <c r="D214" s="25" t="n"/>
      <c r="E214" s="25" t="n"/>
      <c r="F214" s="24" t="n"/>
      <c r="G214" s="27" t="n"/>
      <c r="H214" s="27" t="n"/>
      <c r="I214" s="24" t="n"/>
      <c r="J214" s="27" t="n"/>
      <c r="K214" s="25" t="n"/>
      <c r="L214" s="24" t="n"/>
      <c r="M214" s="24" t="n"/>
    </row>
    <row r="215">
      <c r="A215" s="24" t="n"/>
      <c r="B215" s="24" t="n"/>
      <c r="C215" s="24" t="n"/>
      <c r="D215" s="25" t="n"/>
      <c r="E215" s="25" t="n"/>
      <c r="F215" s="24" t="n"/>
      <c r="G215" s="27" t="n"/>
      <c r="H215" s="27" t="n"/>
      <c r="I215" s="24" t="n"/>
      <c r="J215" s="27" t="n"/>
      <c r="K215" s="25" t="n"/>
      <c r="L215" s="24" t="n"/>
      <c r="M215" s="24" t="n"/>
    </row>
    <row r="216">
      <c r="A216" s="24" t="n"/>
      <c r="B216" s="24" t="n"/>
      <c r="C216" s="24" t="n"/>
      <c r="D216" s="25" t="n"/>
      <c r="E216" s="25" t="n"/>
      <c r="F216" s="24" t="n"/>
      <c r="G216" s="27" t="n"/>
      <c r="H216" s="27" t="n"/>
      <c r="I216" s="24" t="n"/>
      <c r="J216" s="27" t="n"/>
      <c r="K216" s="25" t="n"/>
      <c r="L216" s="24" t="n"/>
      <c r="M216" s="24" t="n"/>
    </row>
    <row r="217">
      <c r="A217" s="24" t="n"/>
      <c r="B217" s="24" t="n"/>
      <c r="C217" s="24" t="n"/>
      <c r="D217" s="25" t="n"/>
      <c r="E217" s="25" t="n"/>
      <c r="F217" s="24" t="n"/>
      <c r="G217" s="27" t="n"/>
      <c r="H217" s="27" t="n"/>
      <c r="I217" s="24" t="n"/>
      <c r="J217" s="27" t="n"/>
      <c r="K217" s="25" t="n"/>
      <c r="L217" s="24" t="n"/>
      <c r="M217" s="24" t="n"/>
    </row>
    <row r="218">
      <c r="A218" s="24" t="n"/>
      <c r="B218" s="24" t="n"/>
      <c r="C218" s="24" t="n"/>
      <c r="D218" s="25" t="n"/>
      <c r="E218" s="25" t="n"/>
      <c r="F218" s="24" t="n"/>
      <c r="G218" s="27" t="n"/>
      <c r="H218" s="27" t="n"/>
      <c r="I218" s="24" t="n"/>
      <c r="J218" s="27" t="n"/>
      <c r="K218" s="25" t="n"/>
      <c r="L218" s="24" t="n"/>
      <c r="M218" s="24" t="n"/>
    </row>
    <row r="219">
      <c r="A219" s="24" t="n"/>
      <c r="B219" s="24" t="n"/>
      <c r="C219" s="24" t="n"/>
      <c r="D219" s="25" t="n"/>
      <c r="E219" s="25" t="n"/>
      <c r="F219" s="24" t="n"/>
      <c r="G219" s="27" t="n"/>
      <c r="H219" s="27" t="n"/>
      <c r="I219" s="24" t="n"/>
      <c r="J219" s="27" t="n"/>
      <c r="K219" s="25" t="n"/>
      <c r="L219" s="24" t="n"/>
      <c r="M219" s="24" t="n"/>
    </row>
    <row r="220">
      <c r="A220" s="24" t="n"/>
      <c r="B220" s="24" t="n"/>
      <c r="C220" s="24" t="n"/>
      <c r="D220" s="25" t="n"/>
      <c r="E220" s="25" t="n"/>
      <c r="F220" s="24" t="n"/>
      <c r="G220" s="27" t="n"/>
      <c r="H220" s="27" t="n"/>
      <c r="I220" s="24" t="n"/>
      <c r="J220" s="27" t="n"/>
      <c r="K220" s="25" t="n"/>
      <c r="L220" s="24" t="n"/>
      <c r="M220" s="24" t="n"/>
    </row>
    <row r="221">
      <c r="A221" s="24" t="n"/>
      <c r="B221" s="24" t="n"/>
      <c r="C221" s="24" t="n"/>
      <c r="D221" s="25" t="n"/>
      <c r="E221" s="25" t="n"/>
      <c r="F221" s="24" t="n"/>
      <c r="G221" s="27" t="n"/>
      <c r="H221" s="27" t="n"/>
      <c r="I221" s="24" t="n"/>
      <c r="J221" s="27" t="n"/>
      <c r="K221" s="25" t="n"/>
      <c r="L221" s="24" t="n"/>
      <c r="M221" s="24" t="n"/>
    </row>
    <row r="222">
      <c r="A222" s="24" t="n"/>
      <c r="B222" s="24" t="n"/>
      <c r="C222" s="24" t="n"/>
      <c r="D222" s="25" t="n"/>
      <c r="E222" s="25" t="n"/>
      <c r="F222" s="24" t="n"/>
      <c r="G222" s="27" t="n"/>
      <c r="H222" s="27" t="n"/>
      <c r="I222" s="24" t="n"/>
      <c r="J222" s="27" t="n"/>
      <c r="K222" s="25" t="n"/>
      <c r="L222" s="24" t="n"/>
      <c r="M222" s="24" t="n"/>
    </row>
    <row r="223">
      <c r="A223" s="24" t="n"/>
      <c r="B223" s="24" t="n"/>
      <c r="C223" s="24" t="n"/>
      <c r="D223" s="25" t="n"/>
      <c r="E223" s="25" t="n"/>
      <c r="F223" s="24" t="n"/>
      <c r="G223" s="27" t="n"/>
      <c r="H223" s="27" t="n"/>
      <c r="I223" s="24" t="n"/>
      <c r="J223" s="27" t="n"/>
      <c r="K223" s="25" t="n"/>
      <c r="L223" s="24" t="n"/>
      <c r="M223" s="24" t="n"/>
    </row>
    <row r="224">
      <c r="A224" s="24" t="n"/>
      <c r="B224" s="24" t="n"/>
      <c r="C224" s="24" t="n"/>
      <c r="D224" s="25" t="n"/>
      <c r="E224" s="25" t="n"/>
      <c r="F224" s="24" t="n"/>
      <c r="G224" s="27" t="n"/>
      <c r="H224" s="27" t="n"/>
      <c r="I224" s="24" t="n"/>
      <c r="J224" s="27" t="n"/>
      <c r="K224" s="25" t="n"/>
      <c r="L224" s="24" t="n"/>
      <c r="M224" s="24" t="n"/>
    </row>
    <row r="225">
      <c r="A225" s="24" t="n"/>
      <c r="B225" s="24" t="n"/>
      <c r="C225" s="24" t="n"/>
      <c r="D225" s="25" t="n"/>
      <c r="E225" s="25" t="n"/>
      <c r="F225" s="24" t="n"/>
      <c r="G225" s="27" t="n"/>
      <c r="H225" s="27" t="n"/>
      <c r="I225" s="24" t="n"/>
      <c r="J225" s="27" t="n"/>
      <c r="K225" s="25" t="n"/>
      <c r="L225" s="24" t="n"/>
      <c r="M225" s="24" t="n"/>
    </row>
    <row r="226">
      <c r="A226" s="24" t="n"/>
      <c r="B226" s="24" t="n"/>
      <c r="C226" s="24" t="n"/>
      <c r="D226" s="25" t="n"/>
      <c r="E226" s="25" t="n"/>
      <c r="F226" s="24" t="n"/>
      <c r="G226" s="27" t="n"/>
      <c r="H226" s="27" t="n"/>
      <c r="I226" s="24" t="n"/>
      <c r="J226" s="27" t="n"/>
      <c r="K226" s="25" t="n"/>
      <c r="L226" s="24" t="n"/>
      <c r="M226" s="24" t="n"/>
    </row>
    <row r="227">
      <c r="A227" s="24" t="n"/>
      <c r="B227" s="24" t="n"/>
      <c r="C227" s="24" t="n"/>
      <c r="D227" s="25" t="n"/>
      <c r="E227" s="25" t="n"/>
      <c r="F227" s="24" t="n"/>
      <c r="G227" s="27" t="n"/>
      <c r="H227" s="27" t="n"/>
      <c r="I227" s="24" t="n"/>
      <c r="J227" s="27" t="n"/>
      <c r="K227" s="25" t="n"/>
      <c r="L227" s="24" t="n"/>
      <c r="M227" s="24" t="n"/>
    </row>
    <row r="228">
      <c r="A228" s="24" t="n"/>
      <c r="B228" s="24" t="n"/>
      <c r="C228" s="24" t="n"/>
      <c r="D228" s="25" t="n"/>
      <c r="E228" s="25" t="n"/>
      <c r="F228" s="24" t="n"/>
      <c r="G228" s="27" t="n"/>
      <c r="H228" s="27" t="n"/>
      <c r="I228" s="24" t="n"/>
      <c r="J228" s="27" t="n"/>
      <c r="K228" s="25" t="n"/>
      <c r="L228" s="24" t="n"/>
      <c r="M228" s="24" t="n"/>
    </row>
    <row r="229">
      <c r="A229" s="24" t="n"/>
      <c r="B229" s="24" t="n"/>
      <c r="C229" s="24" t="n"/>
      <c r="D229" s="25" t="n"/>
      <c r="E229" s="25" t="n"/>
      <c r="F229" s="24" t="n"/>
      <c r="G229" s="27" t="n"/>
      <c r="H229" s="27" t="n"/>
      <c r="I229" s="24" t="n"/>
      <c r="J229" s="27" t="n"/>
      <c r="K229" s="25" t="n"/>
      <c r="L229" s="24" t="n"/>
      <c r="M229" s="24" t="n"/>
    </row>
    <row r="230">
      <c r="A230" s="24" t="n"/>
      <c r="B230" s="24" t="n"/>
      <c r="C230" s="24" t="n"/>
      <c r="D230" s="25" t="n"/>
      <c r="E230" s="25" t="n"/>
      <c r="F230" s="24" t="n"/>
      <c r="G230" s="27" t="n"/>
      <c r="H230" s="27" t="n"/>
      <c r="I230" s="24" t="n"/>
      <c r="J230" s="27" t="n"/>
      <c r="K230" s="25" t="n"/>
      <c r="L230" s="24" t="n"/>
      <c r="M230" s="24" t="n"/>
    </row>
    <row r="231">
      <c r="A231" s="24" t="n"/>
      <c r="B231" s="24" t="n"/>
      <c r="C231" s="24" t="n"/>
      <c r="D231" s="25" t="n"/>
      <c r="E231" s="25" t="n"/>
      <c r="F231" s="24" t="n"/>
      <c r="G231" s="27" t="n"/>
      <c r="H231" s="27" t="n"/>
      <c r="I231" s="24" t="n"/>
      <c r="J231" s="27" t="n"/>
      <c r="K231" s="25" t="n"/>
      <c r="L231" s="24" t="n"/>
      <c r="M231" s="24" t="n"/>
    </row>
    <row r="232">
      <c r="A232" s="24" t="n"/>
      <c r="B232" s="24" t="n"/>
      <c r="C232" s="24" t="n"/>
      <c r="D232" s="25" t="n"/>
      <c r="E232" s="25" t="n"/>
      <c r="F232" s="24" t="n"/>
      <c r="G232" s="27" t="n"/>
      <c r="H232" s="27" t="n"/>
      <c r="I232" s="24" t="n"/>
      <c r="J232" s="27" t="n"/>
      <c r="K232" s="25" t="n"/>
      <c r="L232" s="24" t="n"/>
      <c r="M232" s="24" t="n"/>
    </row>
    <row r="233">
      <c r="A233" s="24" t="n"/>
      <c r="B233" s="24" t="n"/>
      <c r="C233" s="24" t="n"/>
      <c r="D233" s="25" t="n"/>
      <c r="E233" s="25" t="n"/>
      <c r="F233" s="24" t="n"/>
      <c r="G233" s="27" t="n"/>
      <c r="H233" s="27" t="n"/>
      <c r="I233" s="24" t="n"/>
      <c r="J233" s="27" t="n"/>
      <c r="K233" s="25" t="n"/>
      <c r="L233" s="24" t="n"/>
      <c r="M233" s="24" t="n"/>
    </row>
    <row r="234">
      <c r="A234" s="24" t="n"/>
      <c r="B234" s="24" t="n"/>
      <c r="C234" s="24" t="n"/>
      <c r="D234" s="25" t="n"/>
      <c r="E234" s="25" t="n"/>
      <c r="F234" s="24" t="n"/>
      <c r="G234" s="27" t="n"/>
      <c r="H234" s="27" t="n"/>
      <c r="I234" s="24" t="n"/>
      <c r="J234" s="27" t="n"/>
      <c r="K234" s="25" t="n"/>
      <c r="L234" s="24" t="n"/>
      <c r="M234" s="24" t="n"/>
    </row>
    <row r="235">
      <c r="A235" s="24" t="n"/>
      <c r="B235" s="24" t="n"/>
      <c r="C235" s="24" t="n"/>
      <c r="D235" s="25" t="n"/>
      <c r="E235" s="25" t="n"/>
      <c r="F235" s="24" t="n"/>
      <c r="G235" s="27" t="n"/>
      <c r="H235" s="27" t="n"/>
      <c r="I235" s="24" t="n"/>
      <c r="J235" s="27" t="n"/>
      <c r="K235" s="25" t="n"/>
      <c r="L235" s="24" t="n"/>
      <c r="M235" s="24" t="n"/>
    </row>
    <row r="236">
      <c r="A236" s="24" t="n"/>
      <c r="B236" s="24" t="n"/>
      <c r="C236" s="24" t="n"/>
      <c r="D236" s="25" t="n"/>
      <c r="E236" s="25" t="n"/>
      <c r="F236" s="24" t="n"/>
      <c r="G236" s="27" t="n"/>
      <c r="H236" s="27" t="n"/>
      <c r="I236" s="24" t="n"/>
      <c r="J236" s="27" t="n"/>
      <c r="K236" s="25" t="n"/>
      <c r="L236" s="24" t="n"/>
      <c r="M236" s="24" t="n"/>
    </row>
    <row r="237">
      <c r="A237" s="24" t="n"/>
      <c r="B237" s="24" t="n"/>
      <c r="C237" s="24" t="n"/>
      <c r="D237" s="25" t="n"/>
      <c r="E237" s="25" t="n"/>
      <c r="F237" s="24" t="n"/>
      <c r="G237" s="27" t="n"/>
      <c r="H237" s="27" t="n"/>
      <c r="I237" s="24" t="n"/>
      <c r="J237" s="27" t="n"/>
      <c r="K237" s="25" t="n"/>
      <c r="L237" s="24" t="n"/>
      <c r="M237" s="24" t="n"/>
    </row>
    <row r="238">
      <c r="A238" s="24" t="n"/>
      <c r="B238" s="24" t="n"/>
      <c r="C238" s="24" t="n"/>
      <c r="D238" s="25" t="n"/>
      <c r="E238" s="25" t="n"/>
      <c r="F238" s="24" t="n"/>
      <c r="G238" s="27" t="n"/>
      <c r="H238" s="27" t="n"/>
      <c r="I238" s="24" t="n"/>
      <c r="J238" s="27" t="n"/>
      <c r="K238" s="25" t="n"/>
      <c r="L238" s="24" t="n"/>
      <c r="M238" s="24" t="n"/>
    </row>
    <row r="239">
      <c r="A239" s="24" t="n"/>
      <c r="B239" s="24" t="n"/>
      <c r="C239" s="24" t="n"/>
      <c r="D239" s="25" t="n"/>
      <c r="E239" s="25" t="n"/>
      <c r="F239" s="24" t="n"/>
      <c r="G239" s="27" t="n"/>
      <c r="H239" s="27" t="n"/>
      <c r="I239" s="24" t="n"/>
      <c r="J239" s="27" t="n"/>
      <c r="K239" s="25" t="n"/>
      <c r="L239" s="24" t="n"/>
      <c r="M239" s="24" t="n"/>
    </row>
    <row r="240">
      <c r="A240" s="24" t="n"/>
      <c r="B240" s="24" t="n"/>
      <c r="C240" s="24" t="n"/>
      <c r="D240" s="25" t="n"/>
      <c r="E240" s="25" t="n"/>
      <c r="F240" s="24" t="n"/>
      <c r="G240" s="27" t="n"/>
      <c r="H240" s="27" t="n"/>
      <c r="I240" s="24" t="n"/>
      <c r="J240" s="27" t="n"/>
      <c r="K240" s="25" t="n"/>
      <c r="L240" s="24" t="n"/>
      <c r="M240" s="24" t="n"/>
    </row>
    <row r="241">
      <c r="A241" s="24" t="n"/>
      <c r="B241" s="24" t="n"/>
      <c r="C241" s="24" t="n"/>
      <c r="D241" s="25" t="n"/>
      <c r="E241" s="25" t="n"/>
      <c r="F241" s="24" t="n"/>
      <c r="G241" s="27" t="n"/>
      <c r="H241" s="27" t="n"/>
      <c r="I241" s="24" t="n"/>
      <c r="J241" s="27" t="n"/>
      <c r="K241" s="25" t="n"/>
      <c r="L241" s="24" t="n"/>
      <c r="M241" s="24" t="n"/>
    </row>
    <row r="242">
      <c r="A242" s="24" t="n"/>
      <c r="B242" s="24" t="n"/>
      <c r="C242" s="24" t="n"/>
      <c r="D242" s="25" t="n"/>
      <c r="E242" s="25" t="n"/>
      <c r="F242" s="24" t="n"/>
      <c r="G242" s="27" t="n"/>
      <c r="H242" s="27" t="n"/>
      <c r="I242" s="24" t="n"/>
      <c r="J242" s="27" t="n"/>
      <c r="K242" s="25" t="n"/>
      <c r="L242" s="24" t="n"/>
      <c r="M242" s="24" t="n"/>
    </row>
    <row r="243">
      <c r="A243" s="24" t="n"/>
      <c r="B243" s="24" t="n"/>
      <c r="C243" s="24" t="n"/>
      <c r="D243" s="25" t="n"/>
      <c r="E243" s="25" t="n"/>
      <c r="F243" s="24" t="n"/>
      <c r="G243" s="27" t="n"/>
      <c r="H243" s="27" t="n"/>
      <c r="I243" s="24" t="n"/>
      <c r="J243" s="27" t="n"/>
      <c r="K243" s="25" t="n"/>
      <c r="L243" s="24" t="n"/>
      <c r="M243" s="24" t="n"/>
    </row>
    <row r="244">
      <c r="A244" s="24" t="n"/>
      <c r="B244" s="24" t="n"/>
      <c r="C244" s="24" t="n"/>
      <c r="D244" s="25" t="n"/>
      <c r="E244" s="25" t="n"/>
      <c r="F244" s="24" t="n"/>
      <c r="G244" s="27" t="n"/>
      <c r="H244" s="27" t="n"/>
      <c r="I244" s="24" t="n"/>
      <c r="J244" s="27" t="n"/>
      <c r="K244" s="25" t="n"/>
      <c r="L244" s="24" t="n"/>
      <c r="M244" s="24" t="n"/>
    </row>
    <row r="245">
      <c r="A245" s="24" t="n"/>
      <c r="B245" s="24" t="n"/>
      <c r="C245" s="24" t="n"/>
      <c r="D245" s="25" t="n"/>
      <c r="E245" s="25" t="n"/>
      <c r="F245" s="24" t="n"/>
      <c r="G245" s="27" t="n"/>
      <c r="H245" s="27" t="n"/>
      <c r="I245" s="24" t="n"/>
      <c r="J245" s="27" t="n"/>
      <c r="K245" s="25" t="n"/>
      <c r="L245" s="24" t="n"/>
      <c r="M245" s="24" t="n"/>
    </row>
    <row r="246">
      <c r="A246" s="24" t="n"/>
      <c r="B246" s="24" t="n"/>
      <c r="C246" s="24" t="n"/>
      <c r="D246" s="25" t="n"/>
      <c r="E246" s="25" t="n"/>
      <c r="F246" s="24" t="n"/>
      <c r="G246" s="27" t="n"/>
      <c r="H246" s="27" t="n"/>
      <c r="I246" s="24" t="n"/>
      <c r="J246" s="27" t="n"/>
      <c r="K246" s="25" t="n"/>
      <c r="L246" s="24" t="n"/>
      <c r="M246" s="24" t="n"/>
    </row>
    <row r="247">
      <c r="A247" s="24" t="n"/>
      <c r="B247" s="24" t="n"/>
      <c r="C247" s="24" t="n"/>
      <c r="D247" s="25" t="n"/>
      <c r="E247" s="25" t="n"/>
      <c r="F247" s="24" t="n"/>
      <c r="G247" s="27" t="n"/>
      <c r="H247" s="27" t="n"/>
      <c r="I247" s="24" t="n"/>
      <c r="J247" s="27" t="n"/>
      <c r="K247" s="25" t="n"/>
      <c r="L247" s="24" t="n"/>
      <c r="M247" s="24" t="n"/>
    </row>
    <row r="248">
      <c r="A248" s="24" t="n"/>
      <c r="B248" s="24" t="n"/>
      <c r="C248" s="24" t="n"/>
      <c r="D248" s="25" t="n"/>
      <c r="E248" s="25" t="n"/>
      <c r="F248" s="24" t="n"/>
      <c r="G248" s="27" t="n"/>
      <c r="H248" s="27" t="n"/>
      <c r="I248" s="24" t="n"/>
      <c r="J248" s="27" t="n"/>
      <c r="K248" s="25" t="n"/>
      <c r="L248" s="24" t="n"/>
      <c r="M248" s="24" t="n"/>
    </row>
    <row r="249">
      <c r="A249" s="24" t="n"/>
      <c r="B249" s="24" t="n"/>
      <c r="C249" s="24" t="n"/>
      <c r="D249" s="25" t="n"/>
      <c r="E249" s="25" t="n"/>
      <c r="F249" s="24" t="n"/>
      <c r="G249" s="27" t="n"/>
      <c r="H249" s="27" t="n"/>
      <c r="I249" s="24" t="n"/>
      <c r="J249" s="27" t="n"/>
      <c r="K249" s="25" t="n"/>
      <c r="L249" s="24" t="n"/>
      <c r="M249" s="24" t="n"/>
    </row>
    <row r="250">
      <c r="A250" s="24" t="n"/>
      <c r="B250" s="24" t="n"/>
      <c r="C250" s="24" t="n"/>
      <c r="D250" s="25" t="n"/>
      <c r="E250" s="25" t="n"/>
      <c r="F250" s="24" t="n"/>
      <c r="G250" s="27" t="n"/>
      <c r="H250" s="27" t="n"/>
      <c r="I250" s="24" t="n"/>
      <c r="J250" s="27" t="n"/>
      <c r="K250" s="25" t="n"/>
      <c r="L250" s="24" t="n"/>
      <c r="M250" s="24" t="n"/>
    </row>
    <row r="251">
      <c r="A251" s="24" t="n"/>
      <c r="B251" s="24" t="n"/>
      <c r="C251" s="24" t="n"/>
      <c r="D251" s="25" t="n"/>
      <c r="E251" s="25" t="n"/>
      <c r="F251" s="24" t="n"/>
      <c r="G251" s="27" t="n"/>
      <c r="H251" s="27" t="n"/>
      <c r="I251" s="24" t="n"/>
      <c r="J251" s="27" t="n"/>
      <c r="K251" s="25" t="n"/>
      <c r="L251" s="24" t="n"/>
      <c r="M251" s="24" t="n"/>
    </row>
    <row r="252">
      <c r="A252" s="24" t="n"/>
      <c r="B252" s="24" t="n"/>
      <c r="C252" s="24" t="n"/>
      <c r="D252" s="25" t="n"/>
      <c r="E252" s="25" t="n"/>
      <c r="F252" s="24" t="n"/>
      <c r="G252" s="27" t="n"/>
      <c r="H252" s="27" t="n"/>
      <c r="I252" s="24" t="n"/>
      <c r="J252" s="27" t="n"/>
      <c r="K252" s="25" t="n"/>
      <c r="L252" s="24" t="n"/>
      <c r="M252" s="24" t="n"/>
    </row>
    <row r="253">
      <c r="A253" s="24" t="n"/>
      <c r="B253" s="24" t="n"/>
      <c r="C253" s="24" t="n"/>
      <c r="D253" s="25" t="n"/>
      <c r="E253" s="25" t="n"/>
      <c r="F253" s="24" t="n"/>
      <c r="G253" s="27" t="n"/>
      <c r="H253" s="27" t="n"/>
      <c r="I253" s="24" t="n"/>
      <c r="J253" s="27" t="n"/>
      <c r="K253" s="25" t="n"/>
      <c r="L253" s="24" t="n"/>
      <c r="M253" s="24" t="n"/>
    </row>
    <row r="254">
      <c r="A254" s="24" t="n"/>
      <c r="B254" s="24" t="n"/>
      <c r="C254" s="24" t="n"/>
      <c r="D254" s="25" t="n"/>
      <c r="E254" s="25" t="n"/>
      <c r="F254" s="24" t="n"/>
      <c r="G254" s="27" t="n"/>
      <c r="H254" s="27" t="n"/>
      <c r="I254" s="24" t="n"/>
      <c r="J254" s="27" t="n"/>
      <c r="K254" s="25" t="n"/>
      <c r="L254" s="24" t="n"/>
      <c r="M254" s="24" t="n"/>
    </row>
  </sheetData>
  <conditionalFormatting sqref="A5:M254">
    <cfRule type="expression" priority="1" dxfId="2" stopIfTrue="0">
      <formula>$H5="Odmítnuto"</formula>
    </cfRule>
  </conditionalFormatting>
  <conditionalFormatting sqref="H5:H254">
    <cfRule type="expression" priority="2" dxfId="4" stopIfTrue="0">
      <formula>$H5="Potvrzeno"</formula>
    </cfRule>
  </conditionalFormatting>
  <dataValidations count="6">
    <dataValidation sqref="B5:B254" showDropDown="0" showInputMessage="0" showErrorMessage="1" allowBlank="1" errorTitle="Neplatná hodnota" error="Vyberte hodnotu ze seznamu." type="list">
      <formula1>"Nevěsta,Ženich,Společní"</formula1>
    </dataValidation>
    <dataValidation sqref="C5:C254" showDropDown="0" showInputMessage="0" showErrorMessage="0" allowBlank="1" type="list">
      <formula1>"Rodina,Přátelé,Kolegové,Ostatní"</formula1>
    </dataValidation>
    <dataValidation sqref="F5:F254" showDropDown="0" showInputMessage="0" showErrorMessage="1" allowBlank="1" errorTitle="Neplatná hodnota" error="Vyberte hodnotu ze seznamu." type="list">
      <formula1>"Obřad a hostina,Jen večer,Jen oznámení"</formula1>
    </dataValidation>
    <dataValidation sqref="G5:G254 J5:J254" showDropDown="0" showInputMessage="0" showErrorMessage="1" allowBlank="1" errorTitle="Neplatná hodnota" error="Vyberte hodnotu ze seznamu." type="list">
      <formula1>"Ano,Ne"</formula1>
    </dataValidation>
    <dataValidation sqref="H5:H254" showDropDown="0" showInputMessage="0" showErrorMessage="1" allowBlank="1" errorTitle="Neplatná hodnota" error="Vyberte hodnotu ze seznamu." type="list">
      <formula1>"Potvrzeno,Odmítnuto,Čeká"</formula1>
    </dataValidation>
    <dataValidation sqref="I5:I254" showDropDown="0" showInputMessage="0" showErrorMessage="0" allowBlank="1" type="list">
      <formula1>"Bez omezení,Vegetarián,Vegan,Bez lepku,Bez laktózy,Jiné"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1" customWidth="1" min="3" max="3"/>
    <col width="11" customWidth="1" min="4" max="4"/>
    <col width="11" customWidth="1" min="5" max="5"/>
    <col width="14" customWidth="1" min="6" max="6"/>
    <col width="3" customWidth="1" min="7" max="7"/>
    <col width="30" customWidth="1" min="8" max="8"/>
    <col width="12" customWidth="1" min="9" max="9"/>
  </cols>
  <sheetData>
    <row r="1" ht="34" customHeight="1">
      <c r="A1" s="1" t="inlineStr">
        <is>
          <t>Stoly</t>
        </is>
      </c>
    </row>
    <row r="2">
      <c r="A2" s="2" t="inlineStr">
        <is>
          <t>Číslo stolu přiřaďte hostům v listu Hosté. Tady uvidíte, kolik míst je obsazeno.</t>
        </is>
      </c>
    </row>
    <row r="4" ht="32" customHeight="1">
      <c r="A4" s="23" t="inlineStr">
        <is>
          <t>Stůl</t>
        </is>
      </c>
      <c r="B4" s="22" t="inlineStr">
        <is>
          <t>Popis</t>
        </is>
      </c>
      <c r="C4" s="23" t="inlineStr">
        <is>
          <t>Kapacita</t>
        </is>
      </c>
      <c r="D4" s="23" t="inlineStr">
        <is>
          <t>Obsazeno</t>
        </is>
      </c>
      <c r="E4" s="23" t="inlineStr">
        <is>
          <t>Volno</t>
        </is>
      </c>
      <c r="F4" s="23" t="inlineStr">
        <is>
          <t>Stav</t>
        </is>
      </c>
    </row>
    <row r="5">
      <c r="A5" s="27" t="n">
        <v>1</v>
      </c>
      <c r="B5" s="24" t="inlineStr">
        <is>
          <t>Hlavní stůl</t>
        </is>
      </c>
      <c r="C5" s="27" t="n">
        <v>10</v>
      </c>
      <c r="D5" s="38">
        <f>IF($A5="","",SUMIFS('Hosté'!$D$5:$D$254,'Hosté'!$K$5:$K$254,$A5,'Hosté'!$H$5:$H$254,"&lt;&gt;Odmítnuto"))</f>
        <v/>
      </c>
      <c r="E5" s="38">
        <f>IF(OR($A5="",$C5=""),"",$C5-$D5)</f>
        <v/>
      </c>
      <c r="F5" s="38">
        <f>IF(OR($A5="",$C5=""),"",IF($D5&gt;$C5,"Přeplněno",IF($D5=$C5,"Plno","")))</f>
        <v/>
      </c>
      <c r="H5" s="9" t="inlineStr">
        <is>
          <t>Kapacita všech stolů</t>
        </is>
      </c>
      <c r="I5" s="39">
        <f>SUM(C5:C29)</f>
        <v/>
      </c>
    </row>
    <row r="6">
      <c r="A6" s="27" t="n">
        <v>2</v>
      </c>
      <c r="B6" s="24" t="inlineStr">
        <is>
          <t>Rodina nevěsty</t>
        </is>
      </c>
      <c r="C6" s="27" t="n">
        <v>8</v>
      </c>
      <c r="D6" s="38">
        <f>IF($A6="","",SUMIFS('Hosté'!$D$5:$D$254,'Hosté'!$K$5:$K$254,$A6,'Hosté'!$H$5:$H$254,"&lt;&gt;Odmítnuto"))</f>
        <v/>
      </c>
      <c r="E6" s="38">
        <f>IF(OR($A6="",$C6=""),"",$C6-$D6)</f>
        <v/>
      </c>
      <c r="F6" s="38">
        <f>IF(OR($A6="",$C6=""),"",IF($D6&gt;$C6,"Přeplněno",IF($D6=$C6,"Plno","")))</f>
        <v/>
      </c>
      <c r="H6" s="9" t="inlineStr">
        <is>
          <t>Potvrzení hosté (osob)</t>
        </is>
      </c>
      <c r="I6" s="39">
        <f>SUMIFS('Hosté'!$D$5:$D$254,'Hosté'!$H$5:$H$254,"Potvrzeno")</f>
        <v/>
      </c>
    </row>
    <row r="7">
      <c r="A7" s="27" t="n">
        <v>3</v>
      </c>
      <c r="B7" s="24" t="inlineStr">
        <is>
          <t>Rodina ženicha</t>
        </is>
      </c>
      <c r="C7" s="27" t="n">
        <v>8</v>
      </c>
      <c r="D7" s="38">
        <f>IF($A7="","",SUMIFS('Hosté'!$D$5:$D$254,'Hosté'!$K$5:$K$254,$A7,'Hosté'!$H$5:$H$254,"&lt;&gt;Odmítnuto"))</f>
        <v/>
      </c>
      <c r="E7" s="38">
        <f>IF(OR($A7="",$C7=""),"",$C7-$D7)</f>
        <v/>
      </c>
      <c r="F7" s="38">
        <f>IF(OR($A7="",$C7=""),"",IF($D7&gt;$C7,"Přeplněno",IF($D7=$C7,"Plno","")))</f>
        <v/>
      </c>
      <c r="H7" s="9" t="inlineStr">
        <is>
          <t>Potvrzení hosté bez stolu</t>
        </is>
      </c>
      <c r="I7" s="39">
        <f>SUMIFS('Hosté'!$D$5:$D$254,'Hosté'!$H$5:$H$254,"Potvrzeno",'Hosté'!$K$5:$K$254,"")</f>
        <v/>
      </c>
    </row>
    <row r="8">
      <c r="A8" s="27" t="n">
        <v>4</v>
      </c>
      <c r="B8" s="24" t="inlineStr">
        <is>
          <t>Přátelé nevěsty</t>
        </is>
      </c>
      <c r="C8" s="27" t="n">
        <v>8</v>
      </c>
      <c r="D8" s="38">
        <f>IF($A8="","",SUMIFS('Hosté'!$D$5:$D$254,'Hosté'!$K$5:$K$254,$A8,'Hosté'!$H$5:$H$254,"&lt;&gt;Odmítnuto"))</f>
        <v/>
      </c>
      <c r="E8" s="38">
        <f>IF(OR($A8="",$C8=""),"",$C8-$D8)</f>
        <v/>
      </c>
      <c r="F8" s="38">
        <f>IF(OR($A8="",$C8=""),"",IF($D8&gt;$C8,"Přeplněno",IF($D8=$C8,"Plno","")))</f>
        <v/>
      </c>
    </row>
    <row r="9">
      <c r="A9" s="27" t="n">
        <v>5</v>
      </c>
      <c r="B9" s="24" t="inlineStr">
        <is>
          <t>Přátelé ženicha</t>
        </is>
      </c>
      <c r="C9" s="27" t="n">
        <v>8</v>
      </c>
      <c r="D9" s="38">
        <f>IF($A9="","",SUMIFS('Hosté'!$D$5:$D$254,'Hosté'!$K$5:$K$254,$A9,'Hosté'!$H$5:$H$254,"&lt;&gt;Odmítnuto"))</f>
        <v/>
      </c>
      <c r="E9" s="38">
        <f>IF(OR($A9="",$C9=""),"",$C9-$D9)</f>
        <v/>
      </c>
      <c r="F9" s="38">
        <f>IF(OR($A9="",$C9=""),"",IF($D9&gt;$C9,"Přeplněno",IF($D9=$C9,"Plno","")))</f>
        <v/>
      </c>
    </row>
    <row r="10">
      <c r="A10" s="27" t="n">
        <v>6</v>
      </c>
      <c r="B10" s="24" t="inlineStr">
        <is>
          <t>Kolegové</t>
        </is>
      </c>
      <c r="C10" s="27" t="n">
        <v>8</v>
      </c>
      <c r="D10" s="38">
        <f>IF($A10="","",SUMIFS('Hosté'!$D$5:$D$254,'Hosté'!$K$5:$K$254,$A10,'Hosté'!$H$5:$H$254,"&lt;&gt;Odmítnuto"))</f>
        <v/>
      </c>
      <c r="E10" s="38">
        <f>IF(OR($A10="",$C10=""),"",$C10-$D10)</f>
        <v/>
      </c>
      <c r="F10" s="38">
        <f>IF(OR($A10="",$C10=""),"",IF($D10&gt;$C10,"Přeplněno",IF($D10=$C10,"Plno","")))</f>
        <v/>
      </c>
    </row>
    <row r="11">
      <c r="A11" s="27" t="n">
        <v>7</v>
      </c>
      <c r="B11" s="24" t="inlineStr">
        <is>
          <t>Děti</t>
        </is>
      </c>
      <c r="C11" s="27" t="n">
        <v>6</v>
      </c>
      <c r="D11" s="38">
        <f>IF($A11="","",SUMIFS('Hosté'!$D$5:$D$254,'Hosté'!$K$5:$K$254,$A11,'Hosté'!$H$5:$H$254,"&lt;&gt;Odmítnuto"))</f>
        <v/>
      </c>
      <c r="E11" s="38">
        <f>IF(OR($A11="",$C11=""),"",$C11-$D11)</f>
        <v/>
      </c>
      <c r="F11" s="38">
        <f>IF(OR($A11="",$C11=""),"",IF($D11&gt;$C11,"Přeplněno",IF($D11=$C11,"Plno","")))</f>
        <v/>
      </c>
    </row>
    <row r="12">
      <c r="A12" s="27" t="n">
        <v>8</v>
      </c>
      <c r="B12" s="24" t="n"/>
      <c r="C12" s="27" t="n"/>
      <c r="D12" s="38">
        <f>IF($A12="","",SUMIFS('Hosté'!$D$5:$D$254,'Hosté'!$K$5:$K$254,$A12,'Hosté'!$H$5:$H$254,"&lt;&gt;Odmítnuto"))</f>
        <v/>
      </c>
      <c r="E12" s="38">
        <f>IF(OR($A12="",$C12=""),"",$C12-$D12)</f>
        <v/>
      </c>
      <c r="F12" s="38">
        <f>IF(OR($A12="",$C12=""),"",IF($D12&gt;$C12,"Přeplněno",IF($D12=$C12,"Plno","")))</f>
        <v/>
      </c>
    </row>
    <row r="13">
      <c r="A13" s="27" t="n">
        <v>9</v>
      </c>
      <c r="B13" s="24" t="n"/>
      <c r="C13" s="27" t="n"/>
      <c r="D13" s="38">
        <f>IF($A13="","",SUMIFS('Hosté'!$D$5:$D$254,'Hosté'!$K$5:$K$254,$A13,'Hosté'!$H$5:$H$254,"&lt;&gt;Odmítnuto"))</f>
        <v/>
      </c>
      <c r="E13" s="38">
        <f>IF(OR($A13="",$C13=""),"",$C13-$D13)</f>
        <v/>
      </c>
      <c r="F13" s="38">
        <f>IF(OR($A13="",$C13=""),"",IF($D13&gt;$C13,"Přeplněno",IF($D13=$C13,"Plno","")))</f>
        <v/>
      </c>
    </row>
    <row r="14">
      <c r="A14" s="27" t="n">
        <v>10</v>
      </c>
      <c r="B14" s="24" t="n"/>
      <c r="C14" s="27" t="n"/>
      <c r="D14" s="38">
        <f>IF($A14="","",SUMIFS('Hosté'!$D$5:$D$254,'Hosté'!$K$5:$K$254,$A14,'Hosté'!$H$5:$H$254,"&lt;&gt;Odmítnuto"))</f>
        <v/>
      </c>
      <c r="E14" s="38">
        <f>IF(OR($A14="",$C14=""),"",$C14-$D14)</f>
        <v/>
      </c>
      <c r="F14" s="38">
        <f>IF(OR($A14="",$C14=""),"",IF($D14&gt;$C14,"Přeplněno",IF($D14=$C14,"Plno","")))</f>
        <v/>
      </c>
    </row>
    <row r="15">
      <c r="A15" s="27" t="n"/>
      <c r="B15" s="24" t="n"/>
      <c r="C15" s="27" t="n"/>
      <c r="D15" s="38">
        <f>IF($A15="","",SUMIFS('Hosté'!$D$5:$D$254,'Hosté'!$K$5:$K$254,$A15,'Hosté'!$H$5:$H$254,"&lt;&gt;Odmítnuto"))</f>
        <v/>
      </c>
      <c r="E15" s="38">
        <f>IF(OR($A15="",$C15=""),"",$C15-$D15)</f>
        <v/>
      </c>
      <c r="F15" s="38">
        <f>IF(OR($A15="",$C15=""),"",IF($D15&gt;$C15,"Přeplněno",IF($D15=$C15,"Plno","")))</f>
        <v/>
      </c>
    </row>
    <row r="16">
      <c r="A16" s="27" t="n"/>
      <c r="B16" s="24" t="n"/>
      <c r="C16" s="27" t="n"/>
      <c r="D16" s="38">
        <f>IF($A16="","",SUMIFS('Hosté'!$D$5:$D$254,'Hosté'!$K$5:$K$254,$A16,'Hosté'!$H$5:$H$254,"&lt;&gt;Odmítnuto"))</f>
        <v/>
      </c>
      <c r="E16" s="38">
        <f>IF(OR($A16="",$C16=""),"",$C16-$D16)</f>
        <v/>
      </c>
      <c r="F16" s="38">
        <f>IF(OR($A16="",$C16=""),"",IF($D16&gt;$C16,"Přeplněno",IF($D16=$C16,"Plno","")))</f>
        <v/>
      </c>
    </row>
    <row r="17">
      <c r="A17" s="27" t="n"/>
      <c r="B17" s="24" t="n"/>
      <c r="C17" s="27" t="n"/>
      <c r="D17" s="38">
        <f>IF($A17="","",SUMIFS('Hosté'!$D$5:$D$254,'Hosté'!$K$5:$K$254,$A17,'Hosté'!$H$5:$H$254,"&lt;&gt;Odmítnuto"))</f>
        <v/>
      </c>
      <c r="E17" s="38">
        <f>IF(OR($A17="",$C17=""),"",$C17-$D17)</f>
        <v/>
      </c>
      <c r="F17" s="38">
        <f>IF(OR($A17="",$C17=""),"",IF($D17&gt;$C17,"Přeplněno",IF($D17=$C17,"Plno","")))</f>
        <v/>
      </c>
    </row>
    <row r="18">
      <c r="A18" s="27" t="n"/>
      <c r="B18" s="24" t="n"/>
      <c r="C18" s="27" t="n"/>
      <c r="D18" s="38">
        <f>IF($A18="","",SUMIFS('Hosté'!$D$5:$D$254,'Hosté'!$K$5:$K$254,$A18,'Hosté'!$H$5:$H$254,"&lt;&gt;Odmítnuto"))</f>
        <v/>
      </c>
      <c r="E18" s="38">
        <f>IF(OR($A18="",$C18=""),"",$C18-$D18)</f>
        <v/>
      </c>
      <c r="F18" s="38">
        <f>IF(OR($A18="",$C18=""),"",IF($D18&gt;$C18,"Přeplněno",IF($D18=$C18,"Plno","")))</f>
        <v/>
      </c>
    </row>
    <row r="19">
      <c r="A19" s="27" t="n"/>
      <c r="B19" s="24" t="n"/>
      <c r="C19" s="27" t="n"/>
      <c r="D19" s="38">
        <f>IF($A19="","",SUMIFS('Hosté'!$D$5:$D$254,'Hosté'!$K$5:$K$254,$A19,'Hosté'!$H$5:$H$254,"&lt;&gt;Odmítnuto"))</f>
        <v/>
      </c>
      <c r="E19" s="38">
        <f>IF(OR($A19="",$C19=""),"",$C19-$D19)</f>
        <v/>
      </c>
      <c r="F19" s="38">
        <f>IF(OR($A19="",$C19=""),"",IF($D19&gt;$C19,"Přeplněno",IF($D19=$C19,"Plno","")))</f>
        <v/>
      </c>
    </row>
    <row r="20">
      <c r="A20" s="27" t="n"/>
      <c r="B20" s="24" t="n"/>
      <c r="C20" s="27" t="n"/>
      <c r="D20" s="38">
        <f>IF($A20="","",SUMIFS('Hosté'!$D$5:$D$254,'Hosté'!$K$5:$K$254,$A20,'Hosté'!$H$5:$H$254,"&lt;&gt;Odmítnuto"))</f>
        <v/>
      </c>
      <c r="E20" s="38">
        <f>IF(OR($A20="",$C20=""),"",$C20-$D20)</f>
        <v/>
      </c>
      <c r="F20" s="38">
        <f>IF(OR($A20="",$C20=""),"",IF($D20&gt;$C20,"Přeplněno",IF($D20=$C20,"Plno","")))</f>
        <v/>
      </c>
    </row>
    <row r="21">
      <c r="A21" s="27" t="n"/>
      <c r="B21" s="24" t="n"/>
      <c r="C21" s="27" t="n"/>
      <c r="D21" s="38">
        <f>IF($A21="","",SUMIFS('Hosté'!$D$5:$D$254,'Hosté'!$K$5:$K$254,$A21,'Hosté'!$H$5:$H$254,"&lt;&gt;Odmítnuto"))</f>
        <v/>
      </c>
      <c r="E21" s="38">
        <f>IF(OR($A21="",$C21=""),"",$C21-$D21)</f>
        <v/>
      </c>
      <c r="F21" s="38">
        <f>IF(OR($A21="",$C21=""),"",IF($D21&gt;$C21,"Přeplněno",IF($D21=$C21,"Plno","")))</f>
        <v/>
      </c>
    </row>
    <row r="22">
      <c r="A22" s="27" t="n"/>
      <c r="B22" s="24" t="n"/>
      <c r="C22" s="27" t="n"/>
      <c r="D22" s="38">
        <f>IF($A22="","",SUMIFS('Hosté'!$D$5:$D$254,'Hosté'!$K$5:$K$254,$A22,'Hosté'!$H$5:$H$254,"&lt;&gt;Odmítnuto"))</f>
        <v/>
      </c>
      <c r="E22" s="38">
        <f>IF(OR($A22="",$C22=""),"",$C22-$D22)</f>
        <v/>
      </c>
      <c r="F22" s="38">
        <f>IF(OR($A22="",$C22=""),"",IF($D22&gt;$C22,"Přeplněno",IF($D22=$C22,"Plno","")))</f>
        <v/>
      </c>
    </row>
    <row r="23">
      <c r="A23" s="27" t="n"/>
      <c r="B23" s="24" t="n"/>
      <c r="C23" s="27" t="n"/>
      <c r="D23" s="38">
        <f>IF($A23="","",SUMIFS('Hosté'!$D$5:$D$254,'Hosté'!$K$5:$K$254,$A23,'Hosté'!$H$5:$H$254,"&lt;&gt;Odmítnuto"))</f>
        <v/>
      </c>
      <c r="E23" s="38">
        <f>IF(OR($A23="",$C23=""),"",$C23-$D23)</f>
        <v/>
      </c>
      <c r="F23" s="38">
        <f>IF(OR($A23="",$C23=""),"",IF($D23&gt;$C23,"Přeplněno",IF($D23=$C23,"Plno","")))</f>
        <v/>
      </c>
    </row>
    <row r="24">
      <c r="A24" s="27" t="n"/>
      <c r="B24" s="24" t="n"/>
      <c r="C24" s="27" t="n"/>
      <c r="D24" s="38">
        <f>IF($A24="","",SUMIFS('Hosté'!$D$5:$D$254,'Hosté'!$K$5:$K$254,$A24,'Hosté'!$H$5:$H$254,"&lt;&gt;Odmítnuto"))</f>
        <v/>
      </c>
      <c r="E24" s="38">
        <f>IF(OR($A24="",$C24=""),"",$C24-$D24)</f>
        <v/>
      </c>
      <c r="F24" s="38">
        <f>IF(OR($A24="",$C24=""),"",IF($D24&gt;$C24,"Přeplněno",IF($D24=$C24,"Plno","")))</f>
        <v/>
      </c>
    </row>
    <row r="25">
      <c r="A25" s="27" t="n"/>
      <c r="B25" s="24" t="n"/>
      <c r="C25" s="27" t="n"/>
      <c r="D25" s="38">
        <f>IF($A25="","",SUMIFS('Hosté'!$D$5:$D$254,'Hosté'!$K$5:$K$254,$A25,'Hosté'!$H$5:$H$254,"&lt;&gt;Odmítnuto"))</f>
        <v/>
      </c>
      <c r="E25" s="38">
        <f>IF(OR($A25="",$C25=""),"",$C25-$D25)</f>
        <v/>
      </c>
      <c r="F25" s="38">
        <f>IF(OR($A25="",$C25=""),"",IF($D25&gt;$C25,"Přeplněno",IF($D25=$C25,"Plno","")))</f>
        <v/>
      </c>
    </row>
    <row r="26">
      <c r="A26" s="27" t="n"/>
      <c r="B26" s="24" t="n"/>
      <c r="C26" s="27" t="n"/>
      <c r="D26" s="38">
        <f>IF($A26="","",SUMIFS('Hosté'!$D$5:$D$254,'Hosté'!$K$5:$K$254,$A26,'Hosté'!$H$5:$H$254,"&lt;&gt;Odmítnuto"))</f>
        <v/>
      </c>
      <c r="E26" s="38">
        <f>IF(OR($A26="",$C26=""),"",$C26-$D26)</f>
        <v/>
      </c>
      <c r="F26" s="38">
        <f>IF(OR($A26="",$C26=""),"",IF($D26&gt;$C26,"Přeplněno",IF($D26=$C26,"Plno","")))</f>
        <v/>
      </c>
    </row>
    <row r="27">
      <c r="A27" s="27" t="n"/>
      <c r="B27" s="24" t="n"/>
      <c r="C27" s="27" t="n"/>
      <c r="D27" s="38">
        <f>IF($A27="","",SUMIFS('Hosté'!$D$5:$D$254,'Hosté'!$K$5:$K$254,$A27,'Hosté'!$H$5:$H$254,"&lt;&gt;Odmítnuto"))</f>
        <v/>
      </c>
      <c r="E27" s="38">
        <f>IF(OR($A27="",$C27=""),"",$C27-$D27)</f>
        <v/>
      </c>
      <c r="F27" s="38">
        <f>IF(OR($A27="",$C27=""),"",IF($D27&gt;$C27,"Přeplněno",IF($D27=$C27,"Plno","")))</f>
        <v/>
      </c>
    </row>
    <row r="28">
      <c r="A28" s="27" t="n"/>
      <c r="B28" s="24" t="n"/>
      <c r="C28" s="27" t="n"/>
      <c r="D28" s="38">
        <f>IF($A28="","",SUMIFS('Hosté'!$D$5:$D$254,'Hosté'!$K$5:$K$254,$A28,'Hosté'!$H$5:$H$254,"&lt;&gt;Odmítnuto"))</f>
        <v/>
      </c>
      <c r="E28" s="38">
        <f>IF(OR($A28="",$C28=""),"",$C28-$D28)</f>
        <v/>
      </c>
      <c r="F28" s="38">
        <f>IF(OR($A28="",$C28=""),"",IF($D28&gt;$C28,"Přeplněno",IF($D28=$C28,"Plno","")))</f>
        <v/>
      </c>
    </row>
    <row r="29">
      <c r="A29" s="27" t="n"/>
      <c r="B29" s="24" t="n"/>
      <c r="C29" s="27" t="n"/>
      <c r="D29" s="38">
        <f>IF($A29="","",SUMIFS('Hosté'!$D$5:$D$254,'Hosté'!$K$5:$K$254,$A29,'Hosté'!$H$5:$H$254,"&lt;&gt;Odmítnuto"))</f>
        <v/>
      </c>
      <c r="E29" s="38">
        <f>IF(OR($A29="",$C29=""),"",$C29-$D29)</f>
        <v/>
      </c>
      <c r="F29" s="38">
        <f>IF(OR($A29="",$C29=""),"",IF($D29&gt;$C29,"Přeplněno",IF($D29=$C29,"Plno","")))</f>
        <v/>
      </c>
    </row>
  </sheetData>
  <conditionalFormatting sqref="E5:F29">
    <cfRule type="expression" priority="1" dxfId="0" stopIfTrue="0">
      <formula>$F5="Přeplněno"</formula>
    </cfRule>
  </conditionalFormatting>
  <conditionalFormatting sqref="I7">
    <cfRule type="expression" priority="2" dxfId="0" stopIfTrue="0">
      <formula>I7&gt;0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7" customWidth="1" min="4" max="4"/>
    <col width="24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3" customWidth="1" min="11" max="11"/>
    <col width="28" customWidth="1" min="12" max="12"/>
  </cols>
  <sheetData>
    <row r="1" ht="34" customHeight="1">
      <c r="A1" s="1" t="inlineStr">
        <is>
          <t>Dodavatelé</t>
        </is>
      </c>
    </row>
    <row r="2">
      <c r="A2" s="2" t="inlineStr">
        <is>
          <t>Kontakty, ceny a stav domluvy na jednom místě. Stav Zamítnuto použijte pro nabídky, které jste nevzali.</t>
        </is>
      </c>
    </row>
    <row r="4" ht="32" customHeight="1">
      <c r="A4" s="22" t="inlineStr">
        <is>
          <t>Kategorie</t>
        </is>
      </c>
      <c r="B4" s="22" t="inlineStr">
        <is>
          <t>Firma / jméno</t>
        </is>
      </c>
      <c r="C4" s="22" t="inlineStr">
        <is>
          <t>Kontaktní osoba</t>
        </is>
      </c>
      <c r="D4" s="22" t="inlineStr">
        <is>
          <t>Telefon</t>
        </is>
      </c>
      <c r="E4" s="22" t="inlineStr">
        <is>
          <t>E-mail</t>
        </is>
      </c>
      <c r="F4" s="22" t="inlineStr">
        <is>
          <t>Web</t>
        </is>
      </c>
      <c r="G4" s="22" t="inlineStr">
        <is>
          <t>Cena</t>
        </is>
      </c>
      <c r="H4" s="22" t="inlineStr">
        <is>
          <t>Záloha</t>
        </is>
      </c>
      <c r="I4" s="23" t="inlineStr">
        <is>
          <t>Splatnost zálohy</t>
        </is>
      </c>
      <c r="J4" s="23" t="inlineStr">
        <is>
          <t>Smlouva</t>
        </is>
      </c>
      <c r="K4" s="23" t="inlineStr">
        <is>
          <t>Stav</t>
        </is>
      </c>
      <c r="L4" s="22" t="inlineStr">
        <is>
          <t>Poznámka</t>
        </is>
      </c>
    </row>
    <row r="5">
      <c r="A5" s="24" t="inlineStr">
        <is>
          <t>Místo a hostina</t>
        </is>
      </c>
      <c r="B5" s="24" t="inlineStr">
        <is>
          <t>Statek Na Kopci</t>
        </is>
      </c>
      <c r="C5" s="24" t="inlineStr">
        <is>
          <t>Lenka Horká</t>
        </is>
      </c>
      <c r="D5" s="24" t="inlineStr">
        <is>
          <t>+420 601 111 222</t>
        </is>
      </c>
      <c r="E5" s="24" t="inlineStr">
        <is>
          <t>info@example.cz</t>
        </is>
      </c>
      <c r="F5" s="24" t="n"/>
      <c r="G5" s="29" t="n">
        <v>99000</v>
      </c>
      <c r="H5" s="29" t="n">
        <v>10000</v>
      </c>
      <c r="I5" s="31" t="n">
        <v>46490</v>
      </c>
      <c r="J5" s="27" t="inlineStr">
        <is>
          <t>Ano</t>
        </is>
      </c>
      <c r="K5" s="27" t="inlineStr">
        <is>
          <t>Rezervováno</t>
        </is>
      </c>
      <c r="L5" s="24" t="n"/>
    </row>
    <row r="6">
      <c r="A6" s="24" t="inlineStr">
        <is>
          <t>Foto a video</t>
        </is>
      </c>
      <c r="B6" s="24" t="inlineStr">
        <is>
          <t>Foto Jan Dvořák</t>
        </is>
      </c>
      <c r="C6" s="24" t="inlineStr">
        <is>
          <t>Jan Dvořák</t>
        </is>
      </c>
      <c r="D6" s="24" t="inlineStr">
        <is>
          <t>+420 602 333 444</t>
        </is>
      </c>
      <c r="E6" s="24" t="inlineStr">
        <is>
          <t>jan@example.cz</t>
        </is>
      </c>
      <c r="F6" s="24" t="n"/>
      <c r="G6" s="29" t="n">
        <v>32000</v>
      </c>
      <c r="H6" s="29" t="n">
        <v>10000</v>
      </c>
      <c r="I6" s="31" t="n">
        <v>46520</v>
      </c>
      <c r="J6" s="27" t="inlineStr">
        <is>
          <t>Ano</t>
        </is>
      </c>
      <c r="K6" s="27" t="inlineStr">
        <is>
          <t>Rezervováno</t>
        </is>
      </c>
      <c r="L6" s="24" t="n"/>
    </row>
    <row r="7">
      <c r="A7" s="24" t="inlineStr">
        <is>
          <t>Hudba a zábava</t>
        </is>
      </c>
      <c r="B7" s="24" t="inlineStr">
        <is>
          <t>DJ Martin</t>
        </is>
      </c>
      <c r="C7" s="24" t="inlineStr">
        <is>
          <t>Martin Kos</t>
        </is>
      </c>
      <c r="D7" s="24" t="inlineStr">
        <is>
          <t>+420 603 555 666</t>
        </is>
      </c>
      <c r="E7" s="24" t="inlineStr">
        <is>
          <t>dj@example.cz</t>
        </is>
      </c>
      <c r="F7" s="24" t="n"/>
      <c r="G7" s="29" t="n">
        <v>14000</v>
      </c>
      <c r="H7" s="29" t="n">
        <v>5000</v>
      </c>
      <c r="I7" s="31" t="n">
        <v>46543</v>
      </c>
      <c r="J7" s="27" t="inlineStr">
        <is>
          <t>Ano</t>
        </is>
      </c>
      <c r="K7" s="27" t="inlineStr">
        <is>
          <t>Rezervováno</t>
        </is>
      </c>
      <c r="L7" s="24" t="n"/>
    </row>
    <row r="8">
      <c r="A8" s="24" t="inlineStr">
        <is>
          <t>Oblečení a doplňky</t>
        </is>
      </c>
      <c r="B8" s="24" t="inlineStr">
        <is>
          <t>Salon Bílá</t>
        </is>
      </c>
      <c r="C8" s="24" t="n"/>
      <c r="D8" s="24" t="inlineStr">
        <is>
          <t>+420 604 777 888</t>
        </is>
      </c>
      <c r="E8" s="24" t="n"/>
      <c r="F8" s="24" t="n"/>
      <c r="G8" s="29" t="n">
        <v>21500</v>
      </c>
      <c r="H8" s="29" t="n">
        <v>21500</v>
      </c>
      <c r="I8" s="31" t="n"/>
      <c r="J8" s="27" t="inlineStr">
        <is>
          <t>Ne</t>
        </is>
      </c>
      <c r="K8" s="27" t="inlineStr">
        <is>
          <t>Zaplaceno</t>
        </is>
      </c>
      <c r="L8" s="24" t="n"/>
    </row>
    <row r="9">
      <c r="A9" s="24" t="inlineStr">
        <is>
          <t>Foto a video</t>
        </is>
      </c>
      <c r="B9" s="24" t="inlineStr">
        <is>
          <t>Kamera Petr</t>
        </is>
      </c>
      <c r="C9" s="24" t="inlineStr">
        <is>
          <t>Petr Vrba</t>
        </is>
      </c>
      <c r="D9" s="24" t="inlineStr">
        <is>
          <t>+420 605 999 000</t>
        </is>
      </c>
      <c r="E9" s="24" t="n"/>
      <c r="F9" s="24" t="n"/>
      <c r="G9" s="29" t="n">
        <v>28000</v>
      </c>
      <c r="H9" s="29" t="n">
        <v>0</v>
      </c>
      <c r="I9" s="31" t="n"/>
      <c r="J9" s="27" t="inlineStr">
        <is>
          <t>Ne</t>
        </is>
      </c>
      <c r="K9" s="27" t="inlineStr">
        <is>
          <t>Poptáno</t>
        </is>
      </c>
      <c r="L9" s="24" t="n"/>
    </row>
    <row r="10">
      <c r="A10" s="24" t="n"/>
      <c r="B10" s="24" t="n"/>
      <c r="C10" s="24" t="n"/>
      <c r="D10" s="24" t="n"/>
      <c r="E10" s="24" t="n"/>
      <c r="F10" s="24" t="n"/>
      <c r="G10" s="29" t="n"/>
      <c r="H10" s="29" t="n"/>
      <c r="I10" s="31" t="n"/>
      <c r="J10" s="27" t="n"/>
      <c r="K10" s="27" t="n"/>
      <c r="L10" s="24" t="n"/>
    </row>
    <row r="11">
      <c r="A11" s="24" t="n"/>
      <c r="B11" s="24" t="n"/>
      <c r="C11" s="24" t="n"/>
      <c r="D11" s="24" t="n"/>
      <c r="E11" s="24" t="n"/>
      <c r="F11" s="24" t="n"/>
      <c r="G11" s="29" t="n"/>
      <c r="H11" s="29" t="n"/>
      <c r="I11" s="31" t="n"/>
      <c r="J11" s="27" t="n"/>
      <c r="K11" s="27" t="n"/>
      <c r="L11" s="24" t="n"/>
    </row>
    <row r="12">
      <c r="A12" s="24" t="n"/>
      <c r="B12" s="24" t="n"/>
      <c r="C12" s="24" t="n"/>
      <c r="D12" s="24" t="n"/>
      <c r="E12" s="24" t="n"/>
      <c r="F12" s="24" t="n"/>
      <c r="G12" s="29" t="n"/>
      <c r="H12" s="29" t="n"/>
      <c r="I12" s="31" t="n"/>
      <c r="J12" s="27" t="n"/>
      <c r="K12" s="27" t="n"/>
      <c r="L12" s="24" t="n"/>
    </row>
    <row r="13">
      <c r="A13" s="24" t="n"/>
      <c r="B13" s="24" t="n"/>
      <c r="C13" s="24" t="n"/>
      <c r="D13" s="24" t="n"/>
      <c r="E13" s="24" t="n"/>
      <c r="F13" s="24" t="n"/>
      <c r="G13" s="29" t="n"/>
      <c r="H13" s="29" t="n"/>
      <c r="I13" s="31" t="n"/>
      <c r="J13" s="27" t="n"/>
      <c r="K13" s="27" t="n"/>
      <c r="L13" s="24" t="n"/>
    </row>
    <row r="14">
      <c r="A14" s="24" t="n"/>
      <c r="B14" s="24" t="n"/>
      <c r="C14" s="24" t="n"/>
      <c r="D14" s="24" t="n"/>
      <c r="E14" s="24" t="n"/>
      <c r="F14" s="24" t="n"/>
      <c r="G14" s="29" t="n"/>
      <c r="H14" s="29" t="n"/>
      <c r="I14" s="31" t="n"/>
      <c r="J14" s="27" t="n"/>
      <c r="K14" s="27" t="n"/>
      <c r="L14" s="24" t="n"/>
    </row>
    <row r="15">
      <c r="A15" s="24" t="n"/>
      <c r="B15" s="24" t="n"/>
      <c r="C15" s="24" t="n"/>
      <c r="D15" s="24" t="n"/>
      <c r="E15" s="24" t="n"/>
      <c r="F15" s="24" t="n"/>
      <c r="G15" s="29" t="n"/>
      <c r="H15" s="29" t="n"/>
      <c r="I15" s="31" t="n"/>
      <c r="J15" s="27" t="n"/>
      <c r="K15" s="27" t="n"/>
      <c r="L15" s="24" t="n"/>
    </row>
    <row r="16">
      <c r="A16" s="24" t="n"/>
      <c r="B16" s="24" t="n"/>
      <c r="C16" s="24" t="n"/>
      <c r="D16" s="24" t="n"/>
      <c r="E16" s="24" t="n"/>
      <c r="F16" s="24" t="n"/>
      <c r="G16" s="29" t="n"/>
      <c r="H16" s="29" t="n"/>
      <c r="I16" s="31" t="n"/>
      <c r="J16" s="27" t="n"/>
      <c r="K16" s="27" t="n"/>
      <c r="L16" s="24" t="n"/>
    </row>
    <row r="17">
      <c r="A17" s="24" t="n"/>
      <c r="B17" s="24" t="n"/>
      <c r="C17" s="24" t="n"/>
      <c r="D17" s="24" t="n"/>
      <c r="E17" s="24" t="n"/>
      <c r="F17" s="24" t="n"/>
      <c r="G17" s="29" t="n"/>
      <c r="H17" s="29" t="n"/>
      <c r="I17" s="31" t="n"/>
      <c r="J17" s="27" t="n"/>
      <c r="K17" s="27" t="n"/>
      <c r="L17" s="24" t="n"/>
    </row>
    <row r="18">
      <c r="A18" s="24" t="n"/>
      <c r="B18" s="24" t="n"/>
      <c r="C18" s="24" t="n"/>
      <c r="D18" s="24" t="n"/>
      <c r="E18" s="24" t="n"/>
      <c r="F18" s="24" t="n"/>
      <c r="G18" s="29" t="n"/>
      <c r="H18" s="29" t="n"/>
      <c r="I18" s="31" t="n"/>
      <c r="J18" s="27" t="n"/>
      <c r="K18" s="27" t="n"/>
      <c r="L18" s="24" t="n"/>
    </row>
    <row r="19">
      <c r="A19" s="24" t="n"/>
      <c r="B19" s="24" t="n"/>
      <c r="C19" s="24" t="n"/>
      <c r="D19" s="24" t="n"/>
      <c r="E19" s="24" t="n"/>
      <c r="F19" s="24" t="n"/>
      <c r="G19" s="29" t="n"/>
      <c r="H19" s="29" t="n"/>
      <c r="I19" s="31" t="n"/>
      <c r="J19" s="27" t="n"/>
      <c r="K19" s="27" t="n"/>
      <c r="L19" s="24" t="n"/>
    </row>
    <row r="20">
      <c r="A20" s="24" t="n"/>
      <c r="B20" s="24" t="n"/>
      <c r="C20" s="24" t="n"/>
      <c r="D20" s="24" t="n"/>
      <c r="E20" s="24" t="n"/>
      <c r="F20" s="24" t="n"/>
      <c r="G20" s="29" t="n"/>
      <c r="H20" s="29" t="n"/>
      <c r="I20" s="31" t="n"/>
      <c r="J20" s="27" t="n"/>
      <c r="K20" s="27" t="n"/>
      <c r="L20" s="24" t="n"/>
    </row>
    <row r="21">
      <c r="A21" s="24" t="n"/>
      <c r="B21" s="24" t="n"/>
      <c r="C21" s="24" t="n"/>
      <c r="D21" s="24" t="n"/>
      <c r="E21" s="24" t="n"/>
      <c r="F21" s="24" t="n"/>
      <c r="G21" s="29" t="n"/>
      <c r="H21" s="29" t="n"/>
      <c r="I21" s="31" t="n"/>
      <c r="J21" s="27" t="n"/>
      <c r="K21" s="27" t="n"/>
      <c r="L21" s="24" t="n"/>
    </row>
    <row r="22">
      <c r="A22" s="24" t="n"/>
      <c r="B22" s="24" t="n"/>
      <c r="C22" s="24" t="n"/>
      <c r="D22" s="24" t="n"/>
      <c r="E22" s="24" t="n"/>
      <c r="F22" s="24" t="n"/>
      <c r="G22" s="29" t="n"/>
      <c r="H22" s="29" t="n"/>
      <c r="I22" s="31" t="n"/>
      <c r="J22" s="27" t="n"/>
      <c r="K22" s="27" t="n"/>
      <c r="L22" s="24" t="n"/>
    </row>
    <row r="23">
      <c r="A23" s="24" t="n"/>
      <c r="B23" s="24" t="n"/>
      <c r="C23" s="24" t="n"/>
      <c r="D23" s="24" t="n"/>
      <c r="E23" s="24" t="n"/>
      <c r="F23" s="24" t="n"/>
      <c r="G23" s="29" t="n"/>
      <c r="H23" s="29" t="n"/>
      <c r="I23" s="31" t="n"/>
      <c r="J23" s="27" t="n"/>
      <c r="K23" s="27" t="n"/>
      <c r="L23" s="24" t="n"/>
    </row>
    <row r="24">
      <c r="A24" s="24" t="n"/>
      <c r="B24" s="24" t="n"/>
      <c r="C24" s="24" t="n"/>
      <c r="D24" s="24" t="n"/>
      <c r="E24" s="24" t="n"/>
      <c r="F24" s="24" t="n"/>
      <c r="G24" s="29" t="n"/>
      <c r="H24" s="29" t="n"/>
      <c r="I24" s="31" t="n"/>
      <c r="J24" s="27" t="n"/>
      <c r="K24" s="27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9" t="n"/>
      <c r="H25" s="29" t="n"/>
      <c r="I25" s="31" t="n"/>
      <c r="J25" s="27" t="n"/>
      <c r="K25" s="27" t="n"/>
      <c r="L25" s="24" t="n"/>
    </row>
    <row r="26">
      <c r="A26" s="24" t="n"/>
      <c r="B26" s="24" t="n"/>
      <c r="C26" s="24" t="n"/>
      <c r="D26" s="24" t="n"/>
      <c r="E26" s="24" t="n"/>
      <c r="F26" s="24" t="n"/>
      <c r="G26" s="29" t="n"/>
      <c r="H26" s="29" t="n"/>
      <c r="I26" s="31" t="n"/>
      <c r="J26" s="27" t="n"/>
      <c r="K26" s="27" t="n"/>
      <c r="L26" s="24" t="n"/>
    </row>
    <row r="27">
      <c r="A27" s="24" t="n"/>
      <c r="B27" s="24" t="n"/>
      <c r="C27" s="24" t="n"/>
      <c r="D27" s="24" t="n"/>
      <c r="E27" s="24" t="n"/>
      <c r="F27" s="24" t="n"/>
      <c r="G27" s="29" t="n"/>
      <c r="H27" s="29" t="n"/>
      <c r="I27" s="31" t="n"/>
      <c r="J27" s="27" t="n"/>
      <c r="K27" s="27" t="n"/>
      <c r="L27" s="24" t="n"/>
    </row>
    <row r="28">
      <c r="A28" s="24" t="n"/>
      <c r="B28" s="24" t="n"/>
      <c r="C28" s="24" t="n"/>
      <c r="D28" s="24" t="n"/>
      <c r="E28" s="24" t="n"/>
      <c r="F28" s="24" t="n"/>
      <c r="G28" s="29" t="n"/>
      <c r="H28" s="29" t="n"/>
      <c r="I28" s="31" t="n"/>
      <c r="J28" s="27" t="n"/>
      <c r="K28" s="27" t="n"/>
      <c r="L28" s="24" t="n"/>
    </row>
    <row r="29">
      <c r="A29" s="24" t="n"/>
      <c r="B29" s="24" t="n"/>
      <c r="C29" s="24" t="n"/>
      <c r="D29" s="24" t="n"/>
      <c r="E29" s="24" t="n"/>
      <c r="F29" s="24" t="n"/>
      <c r="G29" s="29" t="n"/>
      <c r="H29" s="29" t="n"/>
      <c r="I29" s="31" t="n"/>
      <c r="J29" s="27" t="n"/>
      <c r="K29" s="27" t="n"/>
      <c r="L29" s="24" t="n"/>
    </row>
    <row r="30">
      <c r="A30" s="24" t="n"/>
      <c r="B30" s="24" t="n"/>
      <c r="C30" s="24" t="n"/>
      <c r="D30" s="24" t="n"/>
      <c r="E30" s="24" t="n"/>
      <c r="F30" s="24" t="n"/>
      <c r="G30" s="29" t="n"/>
      <c r="H30" s="29" t="n"/>
      <c r="I30" s="31" t="n"/>
      <c r="J30" s="27" t="n"/>
      <c r="K30" s="27" t="n"/>
      <c r="L30" s="24" t="n"/>
    </row>
    <row r="31">
      <c r="A31" s="24" t="n"/>
      <c r="B31" s="24" t="n"/>
      <c r="C31" s="24" t="n"/>
      <c r="D31" s="24" t="n"/>
      <c r="E31" s="24" t="n"/>
      <c r="F31" s="24" t="n"/>
      <c r="G31" s="29" t="n"/>
      <c r="H31" s="29" t="n"/>
      <c r="I31" s="31" t="n"/>
      <c r="J31" s="27" t="n"/>
      <c r="K31" s="27" t="n"/>
      <c r="L31" s="24" t="n"/>
    </row>
    <row r="32">
      <c r="A32" s="24" t="n"/>
      <c r="B32" s="24" t="n"/>
      <c r="C32" s="24" t="n"/>
      <c r="D32" s="24" t="n"/>
      <c r="E32" s="24" t="n"/>
      <c r="F32" s="24" t="n"/>
      <c r="G32" s="29" t="n"/>
      <c r="H32" s="29" t="n"/>
      <c r="I32" s="31" t="n"/>
      <c r="J32" s="27" t="n"/>
      <c r="K32" s="27" t="n"/>
      <c r="L32" s="24" t="n"/>
    </row>
    <row r="33">
      <c r="A33" s="24" t="n"/>
      <c r="B33" s="24" t="n"/>
      <c r="C33" s="24" t="n"/>
      <c r="D33" s="24" t="n"/>
      <c r="E33" s="24" t="n"/>
      <c r="F33" s="24" t="n"/>
      <c r="G33" s="29" t="n"/>
      <c r="H33" s="29" t="n"/>
      <c r="I33" s="31" t="n"/>
      <c r="J33" s="27" t="n"/>
      <c r="K33" s="27" t="n"/>
      <c r="L33" s="24" t="n"/>
    </row>
    <row r="34">
      <c r="A34" s="24" t="n"/>
      <c r="B34" s="24" t="n"/>
      <c r="C34" s="24" t="n"/>
      <c r="D34" s="24" t="n"/>
      <c r="E34" s="24" t="n"/>
      <c r="F34" s="24" t="n"/>
      <c r="G34" s="29" t="n"/>
      <c r="H34" s="29" t="n"/>
      <c r="I34" s="31" t="n"/>
      <c r="J34" s="27" t="n"/>
      <c r="K34" s="27" t="n"/>
      <c r="L34" s="24" t="n"/>
    </row>
    <row r="35">
      <c r="A35" s="24" t="n"/>
      <c r="B35" s="24" t="n"/>
      <c r="C35" s="24" t="n"/>
      <c r="D35" s="24" t="n"/>
      <c r="E35" s="24" t="n"/>
      <c r="F35" s="24" t="n"/>
      <c r="G35" s="29" t="n"/>
      <c r="H35" s="29" t="n"/>
      <c r="I35" s="31" t="n"/>
      <c r="J35" s="27" t="n"/>
      <c r="K35" s="27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9" t="n"/>
      <c r="H36" s="29" t="n"/>
      <c r="I36" s="31" t="n"/>
      <c r="J36" s="27" t="n"/>
      <c r="K36" s="27" t="n"/>
      <c r="L36" s="24" t="n"/>
    </row>
    <row r="37">
      <c r="A37" s="24" t="n"/>
      <c r="B37" s="24" t="n"/>
      <c r="C37" s="24" t="n"/>
      <c r="D37" s="24" t="n"/>
      <c r="E37" s="24" t="n"/>
      <c r="F37" s="24" t="n"/>
      <c r="G37" s="29" t="n"/>
      <c r="H37" s="29" t="n"/>
      <c r="I37" s="31" t="n"/>
      <c r="J37" s="27" t="n"/>
      <c r="K37" s="27" t="n"/>
      <c r="L37" s="24" t="n"/>
    </row>
    <row r="38">
      <c r="A38" s="24" t="n"/>
      <c r="B38" s="24" t="n"/>
      <c r="C38" s="24" t="n"/>
      <c r="D38" s="24" t="n"/>
      <c r="E38" s="24" t="n"/>
      <c r="F38" s="24" t="n"/>
      <c r="G38" s="29" t="n"/>
      <c r="H38" s="29" t="n"/>
      <c r="I38" s="31" t="n"/>
      <c r="J38" s="27" t="n"/>
      <c r="K38" s="27" t="n"/>
      <c r="L38" s="24" t="n"/>
    </row>
    <row r="39">
      <c r="A39" s="24" t="n"/>
      <c r="B39" s="24" t="n"/>
      <c r="C39" s="24" t="n"/>
      <c r="D39" s="24" t="n"/>
      <c r="E39" s="24" t="n"/>
      <c r="F39" s="24" t="n"/>
      <c r="G39" s="29" t="n"/>
      <c r="H39" s="29" t="n"/>
      <c r="I39" s="31" t="n"/>
      <c r="J39" s="27" t="n"/>
      <c r="K39" s="27" t="n"/>
      <c r="L39" s="24" t="n"/>
    </row>
    <row r="40">
      <c r="A40" s="24" t="n"/>
      <c r="B40" s="24" t="n"/>
      <c r="C40" s="24" t="n"/>
      <c r="D40" s="24" t="n"/>
      <c r="E40" s="24" t="n"/>
      <c r="F40" s="24" t="n"/>
      <c r="G40" s="29" t="n"/>
      <c r="H40" s="29" t="n"/>
      <c r="I40" s="31" t="n"/>
      <c r="J40" s="27" t="n"/>
      <c r="K40" s="27" t="n"/>
      <c r="L40" s="24" t="n"/>
    </row>
    <row r="41">
      <c r="A41" s="24" t="n"/>
      <c r="B41" s="24" t="n"/>
      <c r="C41" s="24" t="n"/>
      <c r="D41" s="24" t="n"/>
      <c r="E41" s="24" t="n"/>
      <c r="F41" s="24" t="n"/>
      <c r="G41" s="29" t="n"/>
      <c r="H41" s="29" t="n"/>
      <c r="I41" s="31" t="n"/>
      <c r="J41" s="27" t="n"/>
      <c r="K41" s="27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9" t="n"/>
      <c r="H42" s="29" t="n"/>
      <c r="I42" s="31" t="n"/>
      <c r="J42" s="27" t="n"/>
      <c r="K42" s="27" t="n"/>
      <c r="L42" s="24" t="n"/>
    </row>
    <row r="43">
      <c r="A43" s="24" t="n"/>
      <c r="B43" s="24" t="n"/>
      <c r="C43" s="24" t="n"/>
      <c r="D43" s="24" t="n"/>
      <c r="E43" s="24" t="n"/>
      <c r="F43" s="24" t="n"/>
      <c r="G43" s="29" t="n"/>
      <c r="H43" s="29" t="n"/>
      <c r="I43" s="31" t="n"/>
      <c r="J43" s="27" t="n"/>
      <c r="K43" s="27" t="n"/>
      <c r="L43" s="24" t="n"/>
    </row>
    <row r="44">
      <c r="A44" s="24" t="n"/>
      <c r="B44" s="24" t="n"/>
      <c r="C44" s="24" t="n"/>
      <c r="D44" s="24" t="n"/>
      <c r="E44" s="24" t="n"/>
      <c r="F44" s="24" t="n"/>
      <c r="G44" s="29" t="n"/>
      <c r="H44" s="29" t="n"/>
      <c r="I44" s="31" t="n"/>
      <c r="J44" s="27" t="n"/>
      <c r="K44" s="27" t="n"/>
      <c r="L44" s="24" t="n"/>
    </row>
    <row r="45">
      <c r="A45" s="24" t="n"/>
      <c r="B45" s="24" t="n"/>
      <c r="C45" s="24" t="n"/>
      <c r="D45" s="24" t="n"/>
      <c r="E45" s="24" t="n"/>
      <c r="F45" s="24" t="n"/>
      <c r="G45" s="29" t="n"/>
      <c r="H45" s="29" t="n"/>
      <c r="I45" s="31" t="n"/>
      <c r="J45" s="27" t="n"/>
      <c r="K45" s="27" t="n"/>
      <c r="L45" s="24" t="n"/>
    </row>
    <row r="46">
      <c r="A46" s="24" t="n"/>
      <c r="B46" s="24" t="n"/>
      <c r="C46" s="24" t="n"/>
      <c r="D46" s="24" t="n"/>
      <c r="E46" s="24" t="n"/>
      <c r="F46" s="24" t="n"/>
      <c r="G46" s="29" t="n"/>
      <c r="H46" s="29" t="n"/>
      <c r="I46" s="31" t="n"/>
      <c r="J46" s="27" t="n"/>
      <c r="K46" s="27" t="n"/>
      <c r="L46" s="24" t="n"/>
    </row>
    <row r="47">
      <c r="A47" s="24" t="n"/>
      <c r="B47" s="24" t="n"/>
      <c r="C47" s="24" t="n"/>
      <c r="D47" s="24" t="n"/>
      <c r="E47" s="24" t="n"/>
      <c r="F47" s="24" t="n"/>
      <c r="G47" s="29" t="n"/>
      <c r="H47" s="29" t="n"/>
      <c r="I47" s="31" t="n"/>
      <c r="J47" s="27" t="n"/>
      <c r="K47" s="27" t="n"/>
      <c r="L47" s="24" t="n"/>
    </row>
    <row r="48">
      <c r="A48" s="24" t="n"/>
      <c r="B48" s="24" t="n"/>
      <c r="C48" s="24" t="n"/>
      <c r="D48" s="24" t="n"/>
      <c r="E48" s="24" t="n"/>
      <c r="F48" s="24" t="n"/>
      <c r="G48" s="29" t="n"/>
      <c r="H48" s="29" t="n"/>
      <c r="I48" s="31" t="n"/>
      <c r="J48" s="27" t="n"/>
      <c r="K48" s="27" t="n"/>
      <c r="L48" s="24" t="n"/>
    </row>
    <row r="49">
      <c r="A49" s="24" t="n"/>
      <c r="B49" s="24" t="n"/>
      <c r="C49" s="24" t="n"/>
      <c r="D49" s="24" t="n"/>
      <c r="E49" s="24" t="n"/>
      <c r="F49" s="24" t="n"/>
      <c r="G49" s="29" t="n"/>
      <c r="H49" s="29" t="n"/>
      <c r="I49" s="31" t="n"/>
      <c r="J49" s="27" t="n"/>
      <c r="K49" s="27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9" t="n"/>
      <c r="H50" s="29" t="n"/>
      <c r="I50" s="31" t="n"/>
      <c r="J50" s="27" t="n"/>
      <c r="K50" s="27" t="n"/>
      <c r="L50" s="24" t="n"/>
    </row>
    <row r="51">
      <c r="A51" s="24" t="n"/>
      <c r="B51" s="24" t="n"/>
      <c r="C51" s="24" t="n"/>
      <c r="D51" s="24" t="n"/>
      <c r="E51" s="24" t="n"/>
      <c r="F51" s="24" t="n"/>
      <c r="G51" s="29" t="n"/>
      <c r="H51" s="29" t="n"/>
      <c r="I51" s="31" t="n"/>
      <c r="J51" s="27" t="n"/>
      <c r="K51" s="27" t="n"/>
      <c r="L51" s="24" t="n"/>
    </row>
    <row r="52">
      <c r="A52" s="24" t="n"/>
      <c r="B52" s="24" t="n"/>
      <c r="C52" s="24" t="n"/>
      <c r="D52" s="24" t="n"/>
      <c r="E52" s="24" t="n"/>
      <c r="F52" s="24" t="n"/>
      <c r="G52" s="29" t="n"/>
      <c r="H52" s="29" t="n"/>
      <c r="I52" s="31" t="n"/>
      <c r="J52" s="27" t="n"/>
      <c r="K52" s="27" t="n"/>
      <c r="L52" s="24" t="n"/>
    </row>
    <row r="53">
      <c r="A53" s="24" t="n"/>
      <c r="B53" s="24" t="n"/>
      <c r="C53" s="24" t="n"/>
      <c r="D53" s="24" t="n"/>
      <c r="E53" s="24" t="n"/>
      <c r="F53" s="24" t="n"/>
      <c r="G53" s="29" t="n"/>
      <c r="H53" s="29" t="n"/>
      <c r="I53" s="31" t="n"/>
      <c r="J53" s="27" t="n"/>
      <c r="K53" s="27" t="n"/>
      <c r="L53" s="24" t="n"/>
    </row>
    <row r="54">
      <c r="A54" s="24" t="n"/>
      <c r="B54" s="24" t="n"/>
      <c r="C54" s="24" t="n"/>
      <c r="D54" s="24" t="n"/>
      <c r="E54" s="24" t="n"/>
      <c r="F54" s="24" t="n"/>
      <c r="G54" s="29" t="n"/>
      <c r="H54" s="29" t="n"/>
      <c r="I54" s="31" t="n"/>
      <c r="J54" s="27" t="n"/>
      <c r="K54" s="27" t="n"/>
      <c r="L54" s="24" t="n"/>
    </row>
  </sheetData>
  <conditionalFormatting sqref="A5:L54">
    <cfRule type="expression" priority="1" dxfId="2" stopIfTrue="0">
      <formula>$K5="Zamítnuto"</formula>
    </cfRule>
  </conditionalFormatting>
  <dataValidations count="3">
    <dataValidation sqref="A5:A54" showDropDown="0" showInputMessage="0" showErrorMessage="1" allowBlank="1" errorTitle="Neplatná hodnota" error="Vyberte hodnotu ze seznamu." type="list">
      <formula1>='Rozpočet'!$L$5:$L$18</formula1>
    </dataValidation>
    <dataValidation sqref="J5:J54" showDropDown="0" showInputMessage="0" showErrorMessage="1" allowBlank="1" errorTitle="Neplatná hodnota" error="Vyberte hodnotu ze seznamu." type="list">
      <formula1>"Ano,Ne"</formula1>
    </dataValidation>
    <dataValidation sqref="K5:K54" showDropDown="0" showInputMessage="0" showErrorMessage="1" allowBlank="1" errorTitle="Neplatná hodnota" error="Vyberte hodnotu ze seznamu." type="list">
      <formula1>"Poptáno,Rezervováno,Zaplaceno,Zamítnuto"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E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24" customWidth="1" min="3" max="3"/>
    <col width="24" customWidth="1" min="4" max="4"/>
    <col width="34" customWidth="1" min="5" max="5"/>
  </cols>
  <sheetData>
    <row r="1" ht="34" customHeight="1">
      <c r="A1" s="1" t="inlineStr">
        <is>
          <t>Den D</t>
        </is>
      </c>
    </row>
    <row r="2">
      <c r="A2" s="2" t="inlineStr">
        <is>
          <t>Harmonogram svatebního dne. Upravte ho a pošlete fotografovi, kapele i svědkům.</t>
        </is>
      </c>
    </row>
    <row r="4" ht="32" customHeight="1">
      <c r="A4" s="23" t="inlineStr">
        <is>
          <t>Čas</t>
        </is>
      </c>
      <c r="B4" s="22" t="inlineStr">
        <is>
          <t>Co se děje</t>
        </is>
      </c>
      <c r="C4" s="22" t="inlineStr">
        <is>
          <t>Kde</t>
        </is>
      </c>
      <c r="D4" s="22" t="inlineStr">
        <is>
          <t>Kdo zajišťuje</t>
        </is>
      </c>
      <c r="E4" s="22" t="inlineStr">
        <is>
          <t>Poznámka</t>
        </is>
      </c>
    </row>
    <row r="5">
      <c r="A5" s="40" t="n">
        <v>0.3333333333333333</v>
      </c>
      <c r="B5" s="24" t="inlineStr">
        <is>
          <t>Snídaně a příprava nevěsty (účes, líčení)</t>
        </is>
      </c>
      <c r="C5" s="24" t="n"/>
      <c r="D5" s="24" t="inlineStr">
        <is>
          <t>Kadeřnice, vizážistka</t>
        </is>
      </c>
      <c r="E5" s="24" t="n"/>
    </row>
    <row r="6">
      <c r="A6" s="40" t="n">
        <v>0.4166666666666667</v>
      </c>
      <c r="B6" s="24" t="inlineStr">
        <is>
          <t>Fotograf fotí přípravy</t>
        </is>
      </c>
      <c r="C6" s="24" t="n"/>
      <c r="D6" s="24" t="inlineStr">
        <is>
          <t>Fotograf</t>
        </is>
      </c>
      <c r="E6" s="24" t="n"/>
    </row>
    <row r="7">
      <c r="A7" s="40" t="n">
        <v>0.4583333333333333</v>
      </c>
      <c r="B7" s="24" t="inlineStr">
        <is>
          <t>Ženich přijíždí pro nevěstu</t>
        </is>
      </c>
      <c r="C7" s="24" t="n"/>
      <c r="D7" s="24" t="inlineStr">
        <is>
          <t>Ženich, svědci</t>
        </is>
      </c>
      <c r="E7" s="24" t="n"/>
    </row>
    <row r="8">
      <c r="A8" s="40" t="n">
        <v>0.4791666666666667</v>
      </c>
      <c r="B8" s="24" t="inlineStr">
        <is>
          <t>Odjezd na obřad</t>
        </is>
      </c>
      <c r="C8" s="24" t="n"/>
      <c r="D8" s="24" t="inlineStr">
        <is>
          <t>Řidič</t>
        </is>
      </c>
      <c r="E8" s="24" t="n"/>
    </row>
    <row r="9">
      <c r="A9" s="40" t="n">
        <v>0.5</v>
      </c>
      <c r="B9" s="24" t="inlineStr">
        <is>
          <t>Svatební obřad</t>
        </is>
      </c>
      <c r="C9" s="24" t="n"/>
      <c r="D9" s="24" t="inlineStr">
        <is>
          <t>Oddávající</t>
        </is>
      </c>
      <c r="E9" s="24" t="n"/>
    </row>
    <row r="10">
      <c r="A10" s="40" t="n">
        <v>0.5208333333333334</v>
      </c>
      <c r="B10" s="24" t="inlineStr">
        <is>
          <t>Gratulace a skupinové focení</t>
        </is>
      </c>
      <c r="C10" s="24" t="n"/>
      <c r="D10" s="24" t="inlineStr">
        <is>
          <t>Fotograf, svědci</t>
        </is>
      </c>
      <c r="E10" s="24" t="n"/>
    </row>
    <row r="11">
      <c r="A11" s="40" t="n">
        <v>0.5625</v>
      </c>
      <c r="B11" s="24" t="inlineStr">
        <is>
          <t>Svatební oběd (rozbití talíře, krmení polévkou)</t>
        </is>
      </c>
      <c r="C11" s="24" t="n"/>
      <c r="D11" s="24" t="inlineStr">
        <is>
          <t>Místo konání</t>
        </is>
      </c>
      <c r="E11" s="24" t="n"/>
    </row>
    <row r="12">
      <c r="A12" s="40" t="n">
        <v>0.625</v>
      </c>
      <c r="B12" s="24" t="inlineStr">
        <is>
          <t>Krájení dortu</t>
        </is>
      </c>
      <c r="C12" s="24" t="n"/>
      <c r="D12" s="24" t="n"/>
      <c r="E12" s="24" t="n"/>
    </row>
    <row r="13">
      <c r="A13" s="40" t="n">
        <v>0.6458333333333334</v>
      </c>
      <c r="B13" s="24" t="inlineStr">
        <is>
          <t>Focení novomanželů</t>
        </is>
      </c>
      <c r="C13" s="24" t="n"/>
      <c r="D13" s="24" t="inlineStr">
        <is>
          <t>Fotograf</t>
        </is>
      </c>
      <c r="E13" s="24" t="n"/>
    </row>
    <row r="14">
      <c r="A14" s="40" t="n">
        <v>0.7083333333333334</v>
      </c>
      <c r="B14" s="24" t="inlineStr">
        <is>
          <t>Zábava a hry</t>
        </is>
      </c>
      <c r="C14" s="24" t="n"/>
      <c r="D14" s="24" t="inlineStr">
        <is>
          <t>Svědci</t>
        </is>
      </c>
      <c r="E14" s="24" t="n"/>
    </row>
    <row r="15">
      <c r="A15" s="40" t="n">
        <v>0.7916666666666666</v>
      </c>
      <c r="B15" s="24" t="inlineStr">
        <is>
          <t>První tanec</t>
        </is>
      </c>
      <c r="C15" s="24" t="n"/>
      <c r="D15" s="24" t="inlineStr">
        <is>
          <t>Kapela / DJ</t>
        </is>
      </c>
      <c r="E15" s="24" t="n"/>
    </row>
    <row r="16">
      <c r="A16" s="40" t="n">
        <v>0.8333333333333334</v>
      </c>
      <c r="B16" s="24" t="inlineStr">
        <is>
          <t>Večerní raut</t>
        </is>
      </c>
      <c r="C16" s="24" t="n"/>
      <c r="D16" s="24" t="inlineStr">
        <is>
          <t>Catering</t>
        </is>
      </c>
      <c r="E16" s="24" t="n"/>
    </row>
    <row r="17">
      <c r="A17" s="40" t="n">
        <v>0.9166666666666666</v>
      </c>
      <c r="B17" s="24" t="inlineStr">
        <is>
          <t>Házení kytice</t>
        </is>
      </c>
      <c r="C17" s="24" t="n"/>
      <c r="D17" s="24" t="n"/>
      <c r="E17" s="24" t="n"/>
    </row>
    <row r="18">
      <c r="A18" s="40" t="n">
        <v>0</v>
      </c>
      <c r="B18" s="24" t="inlineStr">
        <is>
          <t>Půlnoční překvapení, čepení nevěsty</t>
        </is>
      </c>
      <c r="C18" s="24" t="n"/>
      <c r="D18" s="24" t="n"/>
      <c r="E18" s="24" t="n"/>
    </row>
    <row r="19">
      <c r="A19" s="40" t="n">
        <v>0.08333333333333333</v>
      </c>
      <c r="B19" s="24" t="inlineStr">
        <is>
          <t>Konec oslavy</t>
        </is>
      </c>
      <c r="C19" s="24" t="n"/>
      <c r="D19" s="24" t="n"/>
      <c r="E19" s="24" t="n"/>
    </row>
    <row r="20">
      <c r="A20" s="40" t="n"/>
      <c r="B20" s="24" t="n"/>
      <c r="C20" s="24" t="n"/>
      <c r="D20" s="24" t="n"/>
      <c r="E20" s="24" t="n"/>
    </row>
    <row r="21">
      <c r="A21" s="40" t="n"/>
      <c r="B21" s="24" t="n"/>
      <c r="C21" s="24" t="n"/>
      <c r="D21" s="24" t="n"/>
      <c r="E21" s="24" t="n"/>
    </row>
    <row r="22">
      <c r="A22" s="40" t="n"/>
      <c r="B22" s="24" t="n"/>
      <c r="C22" s="24" t="n"/>
      <c r="D22" s="24" t="n"/>
      <c r="E22" s="24" t="n"/>
    </row>
    <row r="23">
      <c r="A23" s="40" t="n"/>
      <c r="B23" s="24" t="n"/>
      <c r="C23" s="24" t="n"/>
      <c r="D23" s="24" t="n"/>
      <c r="E23" s="24" t="n"/>
    </row>
    <row r="24">
      <c r="A24" s="40" t="n"/>
      <c r="B24" s="24" t="n"/>
      <c r="C24" s="24" t="n"/>
      <c r="D24" s="24" t="n"/>
      <c r="E24" s="24" t="n"/>
    </row>
    <row r="25">
      <c r="A25" s="40" t="n"/>
      <c r="B25" s="24" t="n"/>
      <c r="C25" s="24" t="n"/>
      <c r="D25" s="24" t="n"/>
      <c r="E25" s="24" t="n"/>
    </row>
    <row r="26">
      <c r="A26" s="40" t="n"/>
      <c r="B26" s="24" t="n"/>
      <c r="C26" s="24" t="n"/>
      <c r="D26" s="24" t="n"/>
      <c r="E26" s="24" t="n"/>
    </row>
    <row r="27">
      <c r="A27" s="40" t="n"/>
      <c r="B27" s="24" t="n"/>
      <c r="C27" s="24" t="n"/>
      <c r="D27" s="24" t="n"/>
      <c r="E27" s="24" t="n"/>
    </row>
    <row r="28">
      <c r="A28" s="40" t="n"/>
      <c r="B28" s="24" t="n"/>
      <c r="C28" s="24" t="n"/>
      <c r="D28" s="24" t="n"/>
      <c r="E28" s="24" t="n"/>
    </row>
    <row r="29">
      <c r="A29" s="40" t="n"/>
      <c r="B29" s="24" t="n"/>
      <c r="C29" s="24" t="n"/>
      <c r="D29" s="24" t="n"/>
      <c r="E29" s="24" t="n"/>
    </row>
    <row r="30">
      <c r="A30" s="40" t="n"/>
      <c r="B30" s="24" t="n"/>
      <c r="C30" s="24" t="n"/>
      <c r="D30" s="24" t="n"/>
      <c r="E30" s="24" t="n"/>
    </row>
    <row r="31">
      <c r="A31" s="40" t="n"/>
      <c r="B31" s="24" t="n"/>
      <c r="C31" s="24" t="n"/>
      <c r="D31" s="24" t="n"/>
      <c r="E31" s="24" t="n"/>
    </row>
    <row r="32">
      <c r="A32" s="40" t="n"/>
      <c r="B32" s="24" t="n"/>
      <c r="C32" s="24" t="n"/>
      <c r="D32" s="24" t="n"/>
      <c r="E32" s="24" t="n"/>
    </row>
    <row r="33">
      <c r="A33" s="40" t="n"/>
      <c r="B33" s="24" t="n"/>
      <c r="C33" s="24" t="n"/>
      <c r="D33" s="24" t="n"/>
      <c r="E33" s="24" t="n"/>
    </row>
    <row r="34">
      <c r="A34" s="40" t="n"/>
      <c r="B34" s="24" t="n"/>
      <c r="C34" s="24" t="n"/>
      <c r="D34" s="24" t="n"/>
      <c r="E34" s="24" t="n"/>
    </row>
    <row r="35">
      <c r="A35" s="40" t="n"/>
      <c r="B35" s="24" t="n"/>
      <c r="C35" s="24" t="n"/>
      <c r="D35" s="24" t="n"/>
      <c r="E35" s="24" t="n"/>
    </row>
    <row r="36">
      <c r="A36" s="40" t="n"/>
      <c r="B36" s="24" t="n"/>
      <c r="C36" s="24" t="n"/>
      <c r="D36" s="24" t="n"/>
      <c r="E36" s="24" t="n"/>
    </row>
    <row r="37">
      <c r="A37" s="40" t="n"/>
      <c r="B37" s="24" t="n"/>
      <c r="C37" s="24" t="n"/>
      <c r="D37" s="24" t="n"/>
      <c r="E37" s="24" t="n"/>
    </row>
    <row r="38">
      <c r="A38" s="40" t="n"/>
      <c r="B38" s="24" t="n"/>
      <c r="C38" s="24" t="n"/>
      <c r="D38" s="24" t="n"/>
      <c r="E38" s="24" t="n"/>
    </row>
    <row r="39">
      <c r="A39" s="40" t="n"/>
      <c r="B39" s="24" t="n"/>
      <c r="C39" s="24" t="n"/>
      <c r="D39" s="24" t="n"/>
      <c r="E39" s="24" t="n"/>
    </row>
    <row r="40">
      <c r="A40" s="40" t="n"/>
      <c r="B40" s="24" t="n"/>
      <c r="C40" s="24" t="n"/>
      <c r="D40" s="24" t="n"/>
      <c r="E40" s="24" t="n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6B665E"/>
    <outlinePr summaryBelow="1" summaryRight="1"/>
    <pageSetUpPr fitToPage="1"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 ht="34" customHeight="1">
      <c r="B2" s="41" t="inlineStr">
        <is>
          <t>Jak plánovač používat</t>
        </is>
      </c>
    </row>
    <row r="3">
      <c r="B3" s="42" t="n"/>
    </row>
    <row r="4">
      <c r="B4" s="43" t="inlineStr">
        <is>
          <t>Začněte tady</t>
        </is>
      </c>
    </row>
    <row r="5">
      <c r="B5" s="42" t="inlineStr">
        <is>
          <t>1. Na listu Přehled vyplňte jména, datum svatby a celkový rozpočet (zelená pole).</t>
        </is>
      </c>
    </row>
    <row r="6">
      <c r="B6" s="42" t="inlineStr">
        <is>
          <t>2. Úkoly: termíny se dopočítají podle data svatby. Hotové úkoly označte ve sloupci Stav.</t>
        </is>
      </c>
    </row>
    <row r="7">
      <c r="B7" s="42" t="inlineStr">
        <is>
          <t>3. Rozpočet: ke každé položce napište plán. Jakmile znáte skutečnou cenu, doplňte ji a plánovač začne počítat s ní.</t>
        </is>
      </c>
    </row>
    <row r="8">
      <c r="B8" s="42" t="inlineStr">
        <is>
          <t>4. Hosté: jeden řádek = jedna pozvánka. Do sloupce Osob napište, kolik lidí na ni přijde.</t>
        </is>
      </c>
    </row>
    <row r="9">
      <c r="B9" s="42" t="inlineStr">
        <is>
          <t>5. Stoly: v listu Hosté napište číslo stolu, v listu Stoly pak uvidíte obsazenost.</t>
        </is>
      </c>
    </row>
    <row r="10">
      <c r="B10" s="42" t="inlineStr">
        <is>
          <t>6. Den D: upravte harmonogram a pošlete ho fotografovi, kapele i svědkům.</t>
        </is>
      </c>
    </row>
    <row r="11">
      <c r="B11" s="42" t="n"/>
    </row>
    <row r="12">
      <c r="B12" s="43" t="inlineStr">
        <is>
          <t>Tipy</t>
        </is>
      </c>
    </row>
    <row r="13">
      <c r="B13" s="42" t="inlineStr">
        <is>
          <t>• Béžově podbarvené sloupce se počítají samy, nepřepisujte je.</t>
        </is>
      </c>
    </row>
    <row r="14">
      <c r="B14" s="42" t="inlineStr">
        <is>
          <t>• Řádky označené „příklad“ smažte nebo přepište.</t>
        </is>
      </c>
    </row>
    <row r="15">
      <c r="B15" s="42" t="inlineStr">
        <is>
          <t>• Google Tabulky: soubor nahrajte na Disk Google a otevřete v Tabulkách. Pak ho můžete sdílet s partnerem a upravovat ho oba zároveň.</t>
        </is>
      </c>
    </row>
    <row r="16">
      <c r="B16" s="42" t="inlineStr">
        <is>
          <t>• Vlastní úkol, položku rozpočtu nebo hosta přidáte do kteréhokoli prázdného řádku.</t>
        </is>
      </c>
    </row>
    <row r="17">
      <c r="B17" s="42" t="n"/>
    </row>
    <row r="18">
      <c r="B18" s="43" t="inlineStr">
        <is>
          <t>Upozornění</t>
        </is>
      </c>
    </row>
    <row r="19">
      <c r="B19" s="42" t="inlineStr">
        <is>
          <t>Termíny úkolů a doporučené rozdělení rozpočtu jsou orientační, vycházejí z běžné praxe českých svateb. Doklady, lhůty a poplatky pro sňatek vždy ověřte na své matrice.</t>
        </is>
      </c>
    </row>
    <row r="20">
      <c r="B20" s="42" t="n"/>
    </row>
    <row r="21">
      <c r="B21" s="43" t="inlineStr">
        <is>
          <t>Licence</t>
        </is>
      </c>
    </row>
    <row r="22">
      <c r="B22" s="42" t="inlineStr">
        <is>
          <t>Plánovač je určený pro osobní použití jednoho páru. Prosíme, nešiřte ho dál. Děkujeme, že podporujete malou českou firmu.</t>
        </is>
      </c>
    </row>
    <row r="23">
      <c r="B23" s="42" t="n"/>
    </row>
    <row r="24">
      <c r="B24" s="37" t="inlineStr">
        <is>
          <t>Ano, beru · anoberu.cz · verze 1.0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Ano, beru</dc:creator>
  <dc:title>Svatební plánovač</dc:title>
  <dcterms:created xsi:type="dcterms:W3CDTF">2026-09-30T18:26:46Z</dcterms:created>
  <dcterms:modified xsi:type="dcterms:W3CDTF">2026-09-30T18:26:47Z</dcterms:modified>
</cp:coreProperties>
</file>